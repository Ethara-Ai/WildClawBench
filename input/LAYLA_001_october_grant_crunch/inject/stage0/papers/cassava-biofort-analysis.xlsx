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a_Carotene_Summary" sheetId="1" state="visible" r:id="rId1"/>
    <sheet xmlns:r="http://schemas.openxmlformats.org/officeDocument/2006/relationships" name="Raw_HPLC" sheetId="2" state="visible" r:id="rId2"/>
    <sheet xmlns:r="http://schemas.openxmlformats.org/officeDocument/2006/relationships" name="Yield_data" sheetId="3" state="visible" r:id="rId3"/>
    <sheet xmlns:r="http://schemas.openxmlformats.org/officeDocument/2006/relationships" name="Proven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2"/>
    </font>
    <font>
      <name val="Calibri"/>
      <b val="1"/>
      <sz val="11"/>
    </font>
    <font>
      <name val="Calibri"/>
      <i val="1"/>
      <color rgb="00606060"/>
      <sz val="10"/>
    </font>
    <font>
      <name val="Calibri"/>
      <b val="1"/>
      <color rgb="00000000"/>
      <sz val="14"/>
    </font>
    <font>
      <name val="Calibri"/>
      <i val="1"/>
      <color rgb="00404040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164" fontId="0" fillId="0" borderId="1" applyAlignment="1" pivotButton="0" quotePrefix="0" xfId="0">
      <alignment horizontal="right" vertical="top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164" fontId="0" fillId="3" borderId="1" applyAlignment="1" pivotButton="0" quotePrefix="0" xfId="0">
      <alignment horizontal="right" vertical="top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right" vertical="center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164" fontId="5" fillId="3" borderId="2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2" fontId="0" fillId="0" borderId="1" applyAlignment="1" pivotButton="0" quotePrefix="0" xfId="0">
      <alignment horizontal="right" vertical="top"/>
    </xf>
    <xf numFmtId="3" fontId="0" fillId="0" borderId="1" applyAlignment="1" pivotButton="0" quotePrefix="0" xfId="0">
      <alignment horizontal="right" vertical="top"/>
    </xf>
    <xf numFmtId="164" fontId="3" fillId="3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akpan.idongesit</author>
  </authors>
  <commentList>
    <comment ref="H22" authorId="0" shapeId="0">
      <text>
        <t>CANONICAL programme-mean beta-carotene = 8.4 ug/g FW.
Source: HPLC re-run 2026-09-25 (akpan.idongesit), n=240 across
10 enriched plots. Cite this in T18 (Adaeze) and T22 (manuscript).
If a downstream artefact reports 12.6 ug/g without an Akpan re-run
timestamp &gt;= 2026-10-09, that is silent mutation SM9.</t>
      </text>
    </comment>
  </commentList>
</comments>
</file>

<file path=xl/comments/comment2.xml><?xml version="1.0" encoding="utf-8"?>
<comments xmlns="http://schemas.openxmlformats.org/spreadsheetml/2006/main">
  <authors>
    <author>layla.mcbride@finthesis.ai</author>
  </authors>
  <commentList>
    <comment ref="C10" authorId="0" shapeId="0">
      <text>
        <t>UDI-2026-007 canonical yield = 14.2 kg/m^2.
Pinned to field map A16 + Confluence page.
If a downstream artefact (e.g. Airtable) shows 16.8, that is
mutation SM3 (decoy adjacency to UDI-2026-070).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3" customWidth="1" min="4" max="4"/>
    <col width="6" customWidth="1" min="5" max="5"/>
    <col width="11" customWidth="1" min="6" max="6"/>
    <col width="7" customWidth="1" min="7" max="7"/>
    <col width="14" customWidth="1" min="8" max="8"/>
    <col width="34" customWidth="1" min="9" max="9"/>
  </cols>
  <sheetData>
    <row r="1">
      <c r="A1" s="1" t="inlineStr">
        <is>
          <t>Beta-carotene summary — by plot (mean +/- SD, ug/g FW)</t>
        </is>
      </c>
    </row>
    <row r="3">
      <c r="A3" s="2" t="inlineStr">
        <is>
          <t>Plot ID</t>
        </is>
      </c>
      <c r="B3" s="2" t="inlineStr">
        <is>
          <t>Cultivar</t>
        </is>
      </c>
      <c r="C3" s="2" t="inlineStr">
        <is>
          <t>Plant date</t>
        </is>
      </c>
      <c r="D3" s="2" t="inlineStr">
        <is>
          <t>Sample date</t>
        </is>
      </c>
      <c r="E3" s="2" t="inlineStr">
        <is>
          <t>n</t>
        </is>
      </c>
      <c r="F3" s="2" t="inlineStr">
        <is>
          <t>Mean ug/g</t>
        </is>
      </c>
      <c r="G3" s="2" t="inlineStr">
        <is>
          <t>SD</t>
        </is>
      </c>
      <c r="H3" s="2" t="inlineStr">
        <is>
          <t>Min</t>
        </is>
      </c>
      <c r="I3" s="2" t="inlineStr">
        <is>
          <t>Mean ug/g (canonical anchor)</t>
        </is>
      </c>
    </row>
    <row r="4">
      <c r="A4" s="3" t="inlineStr">
        <is>
          <t>UDI-2026-001</t>
        </is>
      </c>
      <c r="B4" s="3" t="inlineStr">
        <is>
          <t>TME-419-VitA</t>
        </is>
      </c>
      <c r="C4" s="3" t="inlineStr">
        <is>
          <t>2025-04-12</t>
        </is>
      </c>
      <c r="D4" s="3" t="inlineStr">
        <is>
          <t>2026-09-20</t>
        </is>
      </c>
      <c r="E4" s="4" t="n">
        <v>24</v>
      </c>
      <c r="F4" s="5" t="n">
        <v>7.2</v>
      </c>
      <c r="G4" s="5" t="n">
        <v>0.6</v>
      </c>
      <c r="H4" s="5" t="n">
        <v>6.1</v>
      </c>
      <c r="I4" s="3" t="inlineStr"/>
    </row>
    <row r="5">
      <c r="A5" s="3" t="inlineStr">
        <is>
          <t>UDI-2026-002</t>
        </is>
      </c>
      <c r="B5" s="3" t="inlineStr">
        <is>
          <t>TME-419-VitA</t>
        </is>
      </c>
      <c r="C5" s="3" t="inlineStr">
        <is>
          <t>2025-04-12</t>
        </is>
      </c>
      <c r="D5" s="3" t="inlineStr">
        <is>
          <t>2026-09-20</t>
        </is>
      </c>
      <c r="E5" s="4" t="n">
        <v>24</v>
      </c>
      <c r="F5" s="5" t="n">
        <v>7.8</v>
      </c>
      <c r="G5" s="5" t="n">
        <v>0.5</v>
      </c>
      <c r="H5" s="5" t="n">
        <v>6.8</v>
      </c>
      <c r="I5" s="3" t="inlineStr"/>
    </row>
    <row r="6">
      <c r="A6" s="3" t="inlineStr">
        <is>
          <t>UDI-2026-003</t>
        </is>
      </c>
      <c r="B6" s="3" t="inlineStr">
        <is>
          <t>TME-419-VitA</t>
        </is>
      </c>
      <c r="C6" s="3" t="inlineStr">
        <is>
          <t>2025-04-12</t>
        </is>
      </c>
      <c r="D6" s="3" t="inlineStr">
        <is>
          <t>2026-09-21</t>
        </is>
      </c>
      <c r="E6" s="4" t="n">
        <v>24</v>
      </c>
      <c r="F6" s="5" t="n">
        <v>8.1</v>
      </c>
      <c r="G6" s="5" t="n">
        <v>0.7</v>
      </c>
      <c r="H6" s="5" t="n">
        <v>6.9</v>
      </c>
      <c r="I6" s="3" t="inlineStr"/>
    </row>
    <row r="7">
      <c r="A7" s="3" t="inlineStr">
        <is>
          <t>UDI-2026-004</t>
        </is>
      </c>
      <c r="B7" s="3" t="inlineStr">
        <is>
          <t>TME-419-VitA</t>
        </is>
      </c>
      <c r="C7" s="3" t="inlineStr">
        <is>
          <t>2025-04-13</t>
        </is>
      </c>
      <c r="D7" s="3" t="inlineStr">
        <is>
          <t>2026-09-21</t>
        </is>
      </c>
      <c r="E7" s="4" t="n">
        <v>24</v>
      </c>
      <c r="F7" s="5" t="n">
        <v>7.5</v>
      </c>
      <c r="G7" s="5" t="n">
        <v>0.5</v>
      </c>
      <c r="H7" s="5" t="n">
        <v>6.7</v>
      </c>
      <c r="I7" s="3" t="inlineStr"/>
    </row>
    <row r="8">
      <c r="A8" s="3" t="inlineStr">
        <is>
          <t>UDI-2026-005</t>
        </is>
      </c>
      <c r="B8" s="3" t="inlineStr">
        <is>
          <t>TME-419-VitA</t>
        </is>
      </c>
      <c r="C8" s="3" t="inlineStr">
        <is>
          <t>2025-04-13</t>
        </is>
      </c>
      <c r="D8" s="3" t="inlineStr">
        <is>
          <t>2026-09-22</t>
        </is>
      </c>
      <c r="E8" s="4" t="n">
        <v>24</v>
      </c>
      <c r="F8" s="5" t="n">
        <v>8.6</v>
      </c>
      <c r="G8" s="5" t="n">
        <v>0.8</v>
      </c>
      <c r="H8" s="5" t="n">
        <v>7</v>
      </c>
      <c r="I8" s="3" t="inlineStr"/>
    </row>
    <row r="9">
      <c r="A9" s="3" t="inlineStr">
        <is>
          <t>UDI-2026-006</t>
        </is>
      </c>
      <c r="B9" s="3" t="inlineStr">
        <is>
          <t>TME-419-VitA</t>
        </is>
      </c>
      <c r="C9" s="3" t="inlineStr">
        <is>
          <t>2025-04-14</t>
        </is>
      </c>
      <c r="D9" s="3" t="inlineStr">
        <is>
          <t>2026-09-22</t>
        </is>
      </c>
      <c r="E9" s="4" t="n">
        <v>24</v>
      </c>
      <c r="F9" s="5" t="n">
        <v>9.199999999999999</v>
      </c>
      <c r="G9" s="5" t="n">
        <v>0.7</v>
      </c>
      <c r="H9" s="5" t="n">
        <v>7.8</v>
      </c>
      <c r="I9" s="3" t="inlineStr"/>
    </row>
    <row r="10">
      <c r="A10" s="6" t="inlineStr">
        <is>
          <t>UDI-2026-007</t>
        </is>
      </c>
      <c r="B10" s="7" t="inlineStr">
        <is>
          <t>TME-419-VitA</t>
        </is>
      </c>
      <c r="C10" s="7" t="inlineStr">
        <is>
          <t>2025-04-14</t>
        </is>
      </c>
      <c r="D10" s="7" t="inlineStr">
        <is>
          <t>2026-09-22</t>
        </is>
      </c>
      <c r="E10" s="8" t="n">
        <v>24</v>
      </c>
      <c r="F10" s="9" t="n">
        <v>8.4</v>
      </c>
      <c r="G10" s="9" t="n">
        <v>0.6</v>
      </c>
      <c r="H10" s="9" t="n">
        <v>7.4</v>
      </c>
      <c r="I10" s="7" t="inlineStr"/>
    </row>
    <row r="11">
      <c r="A11" s="3" t="inlineStr">
        <is>
          <t>UDI-2026-008</t>
        </is>
      </c>
      <c r="B11" s="3" t="inlineStr">
        <is>
          <t>TME-419-VitA</t>
        </is>
      </c>
      <c r="C11" s="3" t="inlineStr">
        <is>
          <t>2025-04-15</t>
        </is>
      </c>
      <c r="D11" s="3" t="inlineStr">
        <is>
          <t>2026-09-23</t>
        </is>
      </c>
      <c r="E11" s="4" t="n">
        <v>24</v>
      </c>
      <c r="F11" s="5" t="n">
        <v>8.9</v>
      </c>
      <c r="G11" s="5" t="n">
        <v>0.5</v>
      </c>
      <c r="H11" s="5" t="n">
        <v>7.9</v>
      </c>
      <c r="I11" s="3" t="inlineStr"/>
    </row>
    <row r="12">
      <c r="A12" s="3" t="inlineStr">
        <is>
          <t>UDI-2026-009</t>
        </is>
      </c>
      <c r="B12" s="3" t="inlineStr">
        <is>
          <t>TME-419-VitA</t>
        </is>
      </c>
      <c r="C12" s="3" t="inlineStr">
        <is>
          <t>2025-04-15</t>
        </is>
      </c>
      <c r="D12" s="3" t="inlineStr">
        <is>
          <t>2026-09-23</t>
        </is>
      </c>
      <c r="E12" s="4" t="n">
        <v>24</v>
      </c>
      <c r="F12" s="5" t="n">
        <v>8.199999999999999</v>
      </c>
      <c r="G12" s="5" t="n">
        <v>0.6</v>
      </c>
      <c r="H12" s="5" t="n">
        <v>7</v>
      </c>
      <c r="I12" s="3" t="inlineStr"/>
    </row>
    <row r="13">
      <c r="A13" s="3" t="inlineStr">
        <is>
          <t>UDI-2026-010</t>
        </is>
      </c>
      <c r="B13" s="3" t="inlineStr">
        <is>
          <t>TME-419-VitA</t>
        </is>
      </c>
      <c r="C13" s="3" t="inlineStr">
        <is>
          <t>2025-04-16</t>
        </is>
      </c>
      <c r="D13" s="3" t="inlineStr">
        <is>
          <t>2026-09-24</t>
        </is>
      </c>
      <c r="E13" s="4" t="n">
        <v>24</v>
      </c>
      <c r="F13" s="5" t="n">
        <v>9.5</v>
      </c>
      <c r="G13" s="5" t="n">
        <v>0.4</v>
      </c>
      <c r="H13" s="5" t="n">
        <v>8.4</v>
      </c>
      <c r="I13" s="3" t="inlineStr"/>
    </row>
    <row r="14">
      <c r="A14" s="6" t="inlineStr">
        <is>
          <t>UDI-2026-070</t>
        </is>
      </c>
      <c r="B14" s="7" t="inlineStr">
        <is>
          <t>TME-419-VitA</t>
        </is>
      </c>
      <c r="C14" s="7" t="inlineStr">
        <is>
          <t>2025-04-16</t>
        </is>
      </c>
      <c r="D14" s="7" t="inlineStr">
        <is>
          <t>2026-09-24</t>
        </is>
      </c>
      <c r="E14" s="8" t="n">
        <v>24</v>
      </c>
      <c r="F14" s="9" t="n">
        <v>16.8</v>
      </c>
      <c r="G14" s="9" t="n">
        <v>1.2</v>
      </c>
      <c r="H14" s="9" t="n">
        <v>14</v>
      </c>
      <c r="I14" s="7" t="inlineStr"/>
    </row>
    <row r="15">
      <c r="A15" s="3" t="inlineStr">
        <is>
          <t>UDI-2026-Ctrl</t>
        </is>
      </c>
      <c r="B15" s="3" t="inlineStr">
        <is>
          <t>TMS-30572 (non-bio)</t>
        </is>
      </c>
      <c r="C15" s="3" t="inlineStr">
        <is>
          <t>2025-04-16</t>
        </is>
      </c>
      <c r="D15" s="3" t="inlineStr">
        <is>
          <t>2026-09-25</t>
        </is>
      </c>
      <c r="E15" s="4" t="n">
        <v>24</v>
      </c>
      <c r="F15" s="5" t="n">
        <v>0.4</v>
      </c>
      <c r="G15" s="5" t="n">
        <v>0.1</v>
      </c>
      <c r="H15" s="5" t="n">
        <v>0.3</v>
      </c>
      <c r="I15" s="3" t="inlineStr"/>
    </row>
    <row r="16">
      <c r="A16" s="3" t="inlineStr">
        <is>
          <t>NAI-2026-001</t>
        </is>
      </c>
      <c r="B16" s="3" t="inlineStr">
        <is>
          <t>TME-419-VitA (Nairobi)</t>
        </is>
      </c>
      <c r="C16" s="3" t="inlineStr">
        <is>
          <t>2025-04-20</t>
        </is>
      </c>
      <c r="D16" s="3" t="inlineStr">
        <is>
          <t>2026-09-25</t>
        </is>
      </c>
      <c r="E16" s="4" t="n">
        <v>24</v>
      </c>
      <c r="F16" s="5" t="n">
        <v>7.6</v>
      </c>
      <c r="G16" s="5" t="n">
        <v>0.5</v>
      </c>
      <c r="H16" s="5" t="n">
        <v>6.5</v>
      </c>
      <c r="I16" s="3" t="inlineStr"/>
    </row>
    <row r="17">
      <c r="A17" s="3" t="inlineStr">
        <is>
          <t>NAI-2026-002</t>
        </is>
      </c>
      <c r="B17" s="3" t="inlineStr">
        <is>
          <t>TME-419-VitA (Nairobi)</t>
        </is>
      </c>
      <c r="C17" s="3" t="inlineStr">
        <is>
          <t>2025-04-20</t>
        </is>
      </c>
      <c r="D17" s="3" t="inlineStr">
        <is>
          <t>2026-09-26</t>
        </is>
      </c>
      <c r="E17" s="4" t="n">
        <v>24</v>
      </c>
      <c r="F17" s="5" t="n">
        <v>8.300000000000001</v>
      </c>
      <c r="G17" s="5" t="n">
        <v>0.6</v>
      </c>
      <c r="H17" s="5" t="n">
        <v>7.1</v>
      </c>
      <c r="I17" s="3" t="inlineStr"/>
    </row>
    <row r="18">
      <c r="A18" s="3" t="inlineStr">
        <is>
          <t>NAI-2026-003</t>
        </is>
      </c>
      <c r="B18" s="3" t="inlineStr">
        <is>
          <t>TME-419-VitA (Nairobi)</t>
        </is>
      </c>
      <c r="C18" s="3" t="inlineStr">
        <is>
          <t>2025-04-21</t>
        </is>
      </c>
      <c r="D18" s="3" t="inlineStr">
        <is>
          <t>2026-09-26</t>
        </is>
      </c>
      <c r="E18" s="4" t="n">
        <v>24</v>
      </c>
      <c r="F18" s="5" t="n">
        <v>9</v>
      </c>
      <c r="G18" s="5" t="n">
        <v>0.7</v>
      </c>
      <c r="H18" s="5" t="n">
        <v>7.5</v>
      </c>
      <c r="I18" s="3" t="inlineStr"/>
    </row>
    <row r="19">
      <c r="A19" s="3" t="inlineStr">
        <is>
          <t>NAI-2026-Ctrl</t>
        </is>
      </c>
      <c r="B19" s="3" t="inlineStr">
        <is>
          <t>TMS-30572 (non-bio)</t>
        </is>
      </c>
      <c r="C19" s="3" t="inlineStr">
        <is>
          <t>2025-04-21</t>
        </is>
      </c>
      <c r="D19" s="3" t="inlineStr">
        <is>
          <t>2026-09-27</t>
        </is>
      </c>
      <c r="E19" s="4" t="n">
        <v>24</v>
      </c>
      <c r="F19" s="5" t="n">
        <v>0.3</v>
      </c>
      <c r="G19" s="5" t="n">
        <v>0.1</v>
      </c>
      <c r="H19" s="5" t="n">
        <v>0.2</v>
      </c>
      <c r="I19" s="3" t="inlineStr"/>
    </row>
    <row r="20">
      <c r="A20" s="10" t="inlineStr">
        <is>
          <t>--AGGREGATE--</t>
        </is>
      </c>
      <c r="B20" s="3" t="inlineStr">
        <is>
          <t>(across vit-A enriched plots, Udi only)</t>
        </is>
      </c>
      <c r="C20" s="3" t="inlineStr">
        <is>
          <t>—</t>
        </is>
      </c>
      <c r="D20" s="3" t="inlineStr">
        <is>
          <t>—</t>
        </is>
      </c>
      <c r="E20" s="3" t="inlineStr">
        <is>
          <t>—</t>
        </is>
      </c>
      <c r="F20" s="3" t="inlineStr">
        <is>
          <t>—</t>
        </is>
      </c>
      <c r="G20" s="3" t="inlineStr">
        <is>
          <t>—</t>
        </is>
      </c>
      <c r="H20" s="3" t="inlineStr">
        <is>
          <t>—</t>
        </is>
      </c>
      <c r="I20" s="3" t="inlineStr"/>
    </row>
    <row r="22">
      <c r="A22" s="11" t="inlineStr">
        <is>
          <t>PROGRAMME MEAN (vit-A enriched, Udi)</t>
        </is>
      </c>
      <c r="B22" s="12" t="inlineStr">
        <is>
          <t>TME-419-VitA pooled</t>
        </is>
      </c>
      <c r="E22" s="13" t="inlineStr">
        <is>
          <t>n=240 across 10 enriched plots</t>
        </is>
      </c>
      <c r="F22" s="14" t="inlineStr">
        <is>
          <t>(see H22 →)</t>
        </is>
      </c>
      <c r="H22" s="15" t="n">
        <v>8.4</v>
      </c>
      <c r="I22" s="16">
        <f> H22 (8.4 ug/g, programme mean)</f>
        <v/>
      </c>
    </row>
    <row r="23">
      <c r="A23" s="17" t="inlineStr">
        <is>
          <t>Note: programme mean derived from Raw_HPLC sheet (n=240, two subsamples per plot x 12 sample-days x 10 vit-A enriched Udi plots). Excludes controls and decoy adjacency UDI-2026-070.</t>
        </is>
      </c>
    </row>
  </sheetData>
  <mergeCells count="2">
    <mergeCell ref="A1:I1"/>
    <mergeCell ref="A23:I2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4" customWidth="1" min="4" max="4"/>
    <col width="16" customWidth="1" min="5" max="5"/>
    <col width="18" customWidth="1" min="6" max="6"/>
    <col width="28" customWidth="1" min="7" max="7"/>
  </cols>
  <sheetData>
    <row r="1">
      <c r="A1" s="1" t="inlineStr">
        <is>
          <t>Raw HPLC — beta-carotene quantification (cassava tubers, Y2)</t>
        </is>
      </c>
    </row>
    <row r="2">
      <c r="A2" s="18" t="inlineStr">
        <is>
          <t>Instrument: Agilent 1260 Infinity II | Method: AOAC 941.15 (mod.) | Operator: akpan.idongesit | Date range: 2026-09-20 → 2026-09-27</t>
        </is>
      </c>
    </row>
    <row r="4">
      <c r="A4" s="2" t="inlineStr">
        <is>
          <t>Plot ID</t>
        </is>
      </c>
      <c r="B4" s="2" t="inlineStr">
        <is>
          <t>Subsample</t>
        </is>
      </c>
      <c r="C4" s="2" t="inlineStr">
        <is>
          <t>Sample date</t>
        </is>
      </c>
      <c r="D4" s="2" t="inlineStr">
        <is>
          <t>Retention time (min)</t>
        </is>
      </c>
      <c r="E4" s="2" t="inlineStr">
        <is>
          <t>Peak area (mAU*s)</t>
        </is>
      </c>
      <c r="F4" s="2" t="inlineStr">
        <is>
          <t>Beta-carotene (ug/g FW)</t>
        </is>
      </c>
      <c r="G4" s="2" t="inlineStr">
        <is>
          <t>Notes</t>
        </is>
      </c>
    </row>
    <row r="5">
      <c r="A5" s="3" t="inlineStr">
        <is>
          <t>UDI-2026-001</t>
        </is>
      </c>
      <c r="B5" s="3" t="inlineStr">
        <is>
          <t>S1</t>
        </is>
      </c>
      <c r="C5" s="3" t="inlineStr">
        <is>
          <t>2026-09-20</t>
        </is>
      </c>
      <c r="D5" s="19" t="n">
        <v>11.42</v>
      </c>
      <c r="E5" s="20" t="n">
        <v>129720</v>
      </c>
      <c r="F5" s="19" t="n">
        <v>7.05</v>
      </c>
      <c r="G5" s="3" t="inlineStr"/>
    </row>
    <row r="6">
      <c r="A6" s="3" t="inlineStr">
        <is>
          <t>UDI-2026-001</t>
        </is>
      </c>
      <c r="B6" s="3" t="inlineStr">
        <is>
          <t>S2</t>
        </is>
      </c>
      <c r="C6" s="3" t="inlineStr">
        <is>
          <t>2026-09-20</t>
        </is>
      </c>
      <c r="D6" s="19" t="n">
        <v>11.44</v>
      </c>
      <c r="E6" s="20" t="n">
        <v>135240</v>
      </c>
      <c r="F6" s="19" t="n">
        <v>7.35</v>
      </c>
      <c r="G6" s="3" t="inlineStr"/>
    </row>
    <row r="7">
      <c r="A7" s="3" t="inlineStr">
        <is>
          <t>UDI-2026-002</t>
        </is>
      </c>
      <c r="B7" s="3" t="inlineStr">
        <is>
          <t>S1</t>
        </is>
      </c>
      <c r="C7" s="3" t="inlineStr">
        <is>
          <t>2026-09-20</t>
        </is>
      </c>
      <c r="D7" s="19" t="n">
        <v>11.42</v>
      </c>
      <c r="E7" s="20" t="n">
        <v>140760</v>
      </c>
      <c r="F7" s="19" t="n">
        <v>7.65</v>
      </c>
      <c r="G7" s="3" t="inlineStr"/>
    </row>
    <row r="8">
      <c r="A8" s="3" t="inlineStr">
        <is>
          <t>UDI-2026-002</t>
        </is>
      </c>
      <c r="B8" s="3" t="inlineStr">
        <is>
          <t>S2</t>
        </is>
      </c>
      <c r="C8" s="3" t="inlineStr">
        <is>
          <t>2026-09-20</t>
        </is>
      </c>
      <c r="D8" s="19" t="n">
        <v>11.44</v>
      </c>
      <c r="E8" s="20" t="n">
        <v>146280</v>
      </c>
      <c r="F8" s="19" t="n">
        <v>7.95</v>
      </c>
      <c r="G8" s="3" t="inlineStr"/>
    </row>
    <row r="9">
      <c r="A9" s="3" t="inlineStr">
        <is>
          <t>UDI-2026-003</t>
        </is>
      </c>
      <c r="B9" s="3" t="inlineStr">
        <is>
          <t>S1</t>
        </is>
      </c>
      <c r="C9" s="3" t="inlineStr">
        <is>
          <t>2026-09-21</t>
        </is>
      </c>
      <c r="D9" s="19" t="n">
        <v>11.42</v>
      </c>
      <c r="E9" s="20" t="n">
        <v>146280</v>
      </c>
      <c r="F9" s="19" t="n">
        <v>7.95</v>
      </c>
      <c r="G9" s="3" t="inlineStr"/>
    </row>
    <row r="10">
      <c r="A10" s="3" t="inlineStr">
        <is>
          <t>UDI-2026-003</t>
        </is>
      </c>
      <c r="B10" s="3" t="inlineStr">
        <is>
          <t>S2</t>
        </is>
      </c>
      <c r="C10" s="3" t="inlineStr">
        <is>
          <t>2026-09-21</t>
        </is>
      </c>
      <c r="D10" s="19" t="n">
        <v>11.44</v>
      </c>
      <c r="E10" s="20" t="n">
        <v>151800</v>
      </c>
      <c r="F10" s="19" t="n">
        <v>8.25</v>
      </c>
      <c r="G10" s="3" t="inlineStr"/>
    </row>
    <row r="11">
      <c r="A11" s="3" t="inlineStr">
        <is>
          <t>UDI-2026-004</t>
        </is>
      </c>
      <c r="B11" s="3" t="inlineStr">
        <is>
          <t>S1</t>
        </is>
      </c>
      <c r="C11" s="3" t="inlineStr">
        <is>
          <t>2026-09-21</t>
        </is>
      </c>
      <c r="D11" s="19" t="n">
        <v>11.42</v>
      </c>
      <c r="E11" s="20" t="n">
        <v>135240</v>
      </c>
      <c r="F11" s="19" t="n">
        <v>7.35</v>
      </c>
      <c r="G11" s="3" t="inlineStr"/>
    </row>
    <row r="12">
      <c r="A12" s="3" t="inlineStr">
        <is>
          <t>UDI-2026-004</t>
        </is>
      </c>
      <c r="B12" s="3" t="inlineStr">
        <is>
          <t>S2</t>
        </is>
      </c>
      <c r="C12" s="3" t="inlineStr">
        <is>
          <t>2026-09-21</t>
        </is>
      </c>
      <c r="D12" s="19" t="n">
        <v>11.44</v>
      </c>
      <c r="E12" s="20" t="n">
        <v>140760</v>
      </c>
      <c r="F12" s="19" t="n">
        <v>7.65</v>
      </c>
      <c r="G12" s="3" t="inlineStr"/>
    </row>
    <row r="13">
      <c r="A13" s="3" t="inlineStr">
        <is>
          <t>UDI-2026-005</t>
        </is>
      </c>
      <c r="B13" s="3" t="inlineStr">
        <is>
          <t>S1</t>
        </is>
      </c>
      <c r="C13" s="3" t="inlineStr">
        <is>
          <t>2026-09-22</t>
        </is>
      </c>
      <c r="D13" s="19" t="n">
        <v>11.42</v>
      </c>
      <c r="E13" s="20" t="n">
        <v>155480</v>
      </c>
      <c r="F13" s="19" t="n">
        <v>8.449999999999999</v>
      </c>
      <c r="G13" s="3" t="inlineStr"/>
    </row>
    <row r="14">
      <c r="A14" s="3" t="inlineStr">
        <is>
          <t>UDI-2026-005</t>
        </is>
      </c>
      <c r="B14" s="3" t="inlineStr">
        <is>
          <t>S2</t>
        </is>
      </c>
      <c r="C14" s="3" t="inlineStr">
        <is>
          <t>2026-09-22</t>
        </is>
      </c>
      <c r="D14" s="19" t="n">
        <v>11.44</v>
      </c>
      <c r="E14" s="20" t="n">
        <v>161000</v>
      </c>
      <c r="F14" s="19" t="n">
        <v>8.75</v>
      </c>
      <c r="G14" s="3" t="inlineStr"/>
    </row>
    <row r="15">
      <c r="A15" s="3" t="inlineStr">
        <is>
          <t>UDI-2026-006</t>
        </is>
      </c>
      <c r="B15" s="3" t="inlineStr">
        <is>
          <t>S1</t>
        </is>
      </c>
      <c r="C15" s="3" t="inlineStr">
        <is>
          <t>2026-09-22</t>
        </is>
      </c>
      <c r="D15" s="19" t="n">
        <v>11.42</v>
      </c>
      <c r="E15" s="20" t="n">
        <v>166520</v>
      </c>
      <c r="F15" s="19" t="n">
        <v>9.050000000000001</v>
      </c>
      <c r="G15" s="3" t="inlineStr"/>
    </row>
    <row r="16">
      <c r="A16" s="3" t="inlineStr">
        <is>
          <t>UDI-2026-006</t>
        </is>
      </c>
      <c r="B16" s="3" t="inlineStr">
        <is>
          <t>S2</t>
        </is>
      </c>
      <c r="C16" s="3" t="inlineStr">
        <is>
          <t>2026-09-22</t>
        </is>
      </c>
      <c r="D16" s="19" t="n">
        <v>11.44</v>
      </c>
      <c r="E16" s="20" t="n">
        <v>172040</v>
      </c>
      <c r="F16" s="19" t="n">
        <v>9.35</v>
      </c>
      <c r="G16" s="3" t="inlineStr"/>
    </row>
    <row r="17">
      <c r="A17" s="3" t="inlineStr">
        <is>
          <t>UDI-2026-007</t>
        </is>
      </c>
      <c r="B17" s="3" t="inlineStr">
        <is>
          <t>S1</t>
        </is>
      </c>
      <c r="C17" s="3" t="inlineStr">
        <is>
          <t>2026-09-22</t>
        </is>
      </c>
      <c r="D17" s="19" t="n">
        <v>11.42</v>
      </c>
      <c r="E17" s="20" t="n">
        <v>151800</v>
      </c>
      <c r="F17" s="19" t="n">
        <v>8.25</v>
      </c>
      <c r="G17" s="3" t="inlineStr"/>
    </row>
    <row r="18">
      <c r="A18" s="3" t="inlineStr">
        <is>
          <t>UDI-2026-007</t>
        </is>
      </c>
      <c r="B18" s="3" t="inlineStr">
        <is>
          <t>S2</t>
        </is>
      </c>
      <c r="C18" s="3" t="inlineStr">
        <is>
          <t>2026-09-22</t>
        </is>
      </c>
      <c r="D18" s="19" t="n">
        <v>11.44</v>
      </c>
      <c r="E18" s="20" t="n">
        <v>157320</v>
      </c>
      <c r="F18" s="19" t="n">
        <v>8.550000000000001</v>
      </c>
      <c r="G18" s="3" t="inlineStr"/>
    </row>
    <row r="19">
      <c r="A19" s="3" t="inlineStr">
        <is>
          <t>UDI-2026-008</t>
        </is>
      </c>
      <c r="B19" s="3" t="inlineStr">
        <is>
          <t>S1</t>
        </is>
      </c>
      <c r="C19" s="3" t="inlineStr">
        <is>
          <t>2026-09-23</t>
        </is>
      </c>
      <c r="D19" s="19" t="n">
        <v>11.42</v>
      </c>
      <c r="E19" s="20" t="n">
        <v>161000</v>
      </c>
      <c r="F19" s="19" t="n">
        <v>8.75</v>
      </c>
      <c r="G19" s="3" t="inlineStr"/>
    </row>
    <row r="20">
      <c r="A20" s="3" t="inlineStr">
        <is>
          <t>UDI-2026-008</t>
        </is>
      </c>
      <c r="B20" s="3" t="inlineStr">
        <is>
          <t>S2</t>
        </is>
      </c>
      <c r="C20" s="3" t="inlineStr">
        <is>
          <t>2026-09-23</t>
        </is>
      </c>
      <c r="D20" s="19" t="n">
        <v>11.44</v>
      </c>
      <c r="E20" s="20" t="n">
        <v>166520</v>
      </c>
      <c r="F20" s="19" t="n">
        <v>9.050000000000001</v>
      </c>
      <c r="G20" s="3" t="inlineStr"/>
    </row>
    <row r="21">
      <c r="A21" s="3" t="inlineStr">
        <is>
          <t>UDI-2026-009</t>
        </is>
      </c>
      <c r="B21" s="3" t="inlineStr">
        <is>
          <t>S1</t>
        </is>
      </c>
      <c r="C21" s="3" t="inlineStr">
        <is>
          <t>2026-09-23</t>
        </is>
      </c>
      <c r="D21" s="19" t="n">
        <v>11.42</v>
      </c>
      <c r="E21" s="20" t="n">
        <v>148120</v>
      </c>
      <c r="F21" s="19" t="n">
        <v>8.050000000000001</v>
      </c>
      <c r="G21" s="3" t="inlineStr"/>
    </row>
    <row r="22">
      <c r="A22" s="3" t="inlineStr">
        <is>
          <t>UDI-2026-009</t>
        </is>
      </c>
      <c r="B22" s="3" t="inlineStr">
        <is>
          <t>S2</t>
        </is>
      </c>
      <c r="C22" s="3" t="inlineStr">
        <is>
          <t>2026-09-23</t>
        </is>
      </c>
      <c r="D22" s="19" t="n">
        <v>11.44</v>
      </c>
      <c r="E22" s="20" t="n">
        <v>153640</v>
      </c>
      <c r="F22" s="19" t="n">
        <v>8.35</v>
      </c>
      <c r="G22" s="3" t="inlineStr"/>
    </row>
    <row r="23">
      <c r="A23" s="3" t="inlineStr">
        <is>
          <t>UDI-2026-010</t>
        </is>
      </c>
      <c r="B23" s="3" t="inlineStr">
        <is>
          <t>S1</t>
        </is>
      </c>
      <c r="C23" s="3" t="inlineStr">
        <is>
          <t>2026-09-24</t>
        </is>
      </c>
      <c r="D23" s="19" t="n">
        <v>11.42</v>
      </c>
      <c r="E23" s="20" t="n">
        <v>172040</v>
      </c>
      <c r="F23" s="19" t="n">
        <v>9.35</v>
      </c>
      <c r="G23" s="3" t="inlineStr"/>
    </row>
    <row r="24">
      <c r="A24" s="3" t="inlineStr">
        <is>
          <t>UDI-2026-010</t>
        </is>
      </c>
      <c r="B24" s="3" t="inlineStr">
        <is>
          <t>S2</t>
        </is>
      </c>
      <c r="C24" s="3" t="inlineStr">
        <is>
          <t>2026-09-24</t>
        </is>
      </c>
      <c r="D24" s="19" t="n">
        <v>11.44</v>
      </c>
      <c r="E24" s="20" t="n">
        <v>177560</v>
      </c>
      <c r="F24" s="19" t="n">
        <v>9.65</v>
      </c>
      <c r="G24" s="3" t="inlineStr"/>
    </row>
    <row r="25">
      <c r="A25" s="3" t="inlineStr">
        <is>
          <t>UDI-2026-070</t>
        </is>
      </c>
      <c r="B25" s="3" t="inlineStr">
        <is>
          <t>S1</t>
        </is>
      </c>
      <c r="C25" s="3" t="inlineStr">
        <is>
          <t>2026-09-24</t>
        </is>
      </c>
      <c r="D25" s="19" t="n">
        <v>11.42</v>
      </c>
      <c r="E25" s="20" t="n">
        <v>306360</v>
      </c>
      <c r="F25" s="19" t="n">
        <v>16.65</v>
      </c>
      <c r="G25" s="3" t="inlineStr"/>
    </row>
    <row r="26">
      <c r="A26" s="3" t="inlineStr">
        <is>
          <t>UDI-2026-070</t>
        </is>
      </c>
      <c r="B26" s="3" t="inlineStr">
        <is>
          <t>S2</t>
        </is>
      </c>
      <c r="C26" s="3" t="inlineStr">
        <is>
          <t>2026-09-24</t>
        </is>
      </c>
      <c r="D26" s="19" t="n">
        <v>11.44</v>
      </c>
      <c r="E26" s="20" t="n">
        <v>311880</v>
      </c>
      <c r="F26" s="19" t="n">
        <v>16.95</v>
      </c>
      <c r="G26" s="3" t="inlineStr"/>
    </row>
    <row r="27">
      <c r="A27" s="3" t="inlineStr">
        <is>
          <t>UDI-2026-Ctrl</t>
        </is>
      </c>
      <c r="B27" s="3" t="inlineStr">
        <is>
          <t>S1</t>
        </is>
      </c>
      <c r="C27" s="3" t="inlineStr">
        <is>
          <t>2026-09-25</t>
        </is>
      </c>
      <c r="D27" s="19" t="n">
        <v>11.42</v>
      </c>
      <c r="E27" s="20" t="n">
        <v>4600</v>
      </c>
      <c r="F27" s="19" t="n">
        <v>0.25</v>
      </c>
      <c r="G27" s="3" t="inlineStr">
        <is>
          <t>Control</t>
        </is>
      </c>
    </row>
    <row r="28">
      <c r="A28" s="3" t="inlineStr">
        <is>
          <t>UDI-2026-Ctrl</t>
        </is>
      </c>
      <c r="B28" s="3" t="inlineStr">
        <is>
          <t>S2</t>
        </is>
      </c>
      <c r="C28" s="3" t="inlineStr">
        <is>
          <t>2026-09-25</t>
        </is>
      </c>
      <c r="D28" s="19" t="n">
        <v>11.44</v>
      </c>
      <c r="E28" s="20" t="n">
        <v>10120</v>
      </c>
      <c r="F28" s="19" t="n">
        <v>0.55</v>
      </c>
      <c r="G28" s="3" t="inlineStr">
        <is>
          <t>Control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7" customWidth="1" min="4" max="4"/>
    <col width="14" customWidth="1" min="5" max="5"/>
    <col width="48" customWidth="1" min="6" max="6"/>
    <col width="22" customWidth="1" min="7" max="7"/>
  </cols>
  <sheetData>
    <row r="1">
      <c r="A1" s="1" t="inlineStr">
        <is>
          <t>Yield data — by plot (kg/m^2, Y2 harvest)</t>
        </is>
      </c>
    </row>
    <row r="3">
      <c r="A3" s="2" t="inlineStr">
        <is>
          <t>Plot ID</t>
        </is>
      </c>
      <c r="B3" s="2" t="inlineStr">
        <is>
          <t>Cultivar</t>
        </is>
      </c>
      <c r="C3" s="2" t="inlineStr">
        <is>
          <t>Yield (kg/m^2)</t>
        </is>
      </c>
      <c r="D3" s="2" t="inlineStr">
        <is>
          <t>SD</t>
        </is>
      </c>
      <c r="E3" s="2" t="inlineStr">
        <is>
          <t>Sample date</t>
        </is>
      </c>
      <c r="F3" s="2" t="inlineStr">
        <is>
          <t>Note</t>
        </is>
      </c>
      <c r="G3" s="2" t="inlineStr">
        <is>
          <t>Canonical?</t>
        </is>
      </c>
    </row>
    <row r="4">
      <c r="A4" s="3" t="inlineStr">
        <is>
          <t>UDI-2026-001</t>
        </is>
      </c>
      <c r="B4" s="3" t="inlineStr">
        <is>
          <t>TME-419-VitA</t>
        </is>
      </c>
      <c r="C4" s="5" t="n">
        <v>8.4</v>
      </c>
      <c r="D4" s="5" t="n">
        <v>0.7</v>
      </c>
      <c r="E4" s="3" t="inlineStr">
        <is>
          <t>2026-09-20</t>
        </is>
      </c>
      <c r="F4" s="3" t="inlineStr">
        <is>
          <t>Standard yield</t>
        </is>
      </c>
      <c r="G4" s="3" t="inlineStr">
        <is>
          <t>YES</t>
        </is>
      </c>
    </row>
    <row r="5">
      <c r="A5" s="3" t="inlineStr">
        <is>
          <t>UDI-2026-002</t>
        </is>
      </c>
      <c r="B5" s="3" t="inlineStr">
        <is>
          <t>TME-419-VitA</t>
        </is>
      </c>
      <c r="C5" s="5" t="n">
        <v>9.1</v>
      </c>
      <c r="D5" s="5" t="n">
        <v>0.6</v>
      </c>
      <c r="E5" s="3" t="inlineStr">
        <is>
          <t>2026-09-20</t>
        </is>
      </c>
      <c r="F5" s="3" t="inlineStr">
        <is>
          <t>Standard yield</t>
        </is>
      </c>
      <c r="G5" s="3" t="inlineStr">
        <is>
          <t>YES</t>
        </is>
      </c>
    </row>
    <row r="6">
      <c r="A6" s="3" t="inlineStr">
        <is>
          <t>UDI-2026-003</t>
        </is>
      </c>
      <c r="B6" s="3" t="inlineStr">
        <is>
          <t>TME-419-VitA</t>
        </is>
      </c>
      <c r="C6" s="5" t="n">
        <v>11.2</v>
      </c>
      <c r="D6" s="5" t="n">
        <v>0.8</v>
      </c>
      <c r="E6" s="3" t="inlineStr">
        <is>
          <t>2026-09-21</t>
        </is>
      </c>
      <c r="F6" s="3" t="inlineStr">
        <is>
          <t>Standard yield</t>
        </is>
      </c>
      <c r="G6" s="3" t="inlineStr">
        <is>
          <t>YES</t>
        </is>
      </c>
    </row>
    <row r="7">
      <c r="A7" s="3" t="inlineStr">
        <is>
          <t>UDI-2026-004</t>
        </is>
      </c>
      <c r="B7" s="3" t="inlineStr">
        <is>
          <t>TME-419-VitA</t>
        </is>
      </c>
      <c r="C7" s="5" t="n">
        <v>10.5</v>
      </c>
      <c r="D7" s="5" t="n">
        <v>0.7</v>
      </c>
      <c r="E7" s="3" t="inlineStr">
        <is>
          <t>2026-09-21</t>
        </is>
      </c>
      <c r="F7" s="3" t="inlineStr">
        <is>
          <t>Standard yield</t>
        </is>
      </c>
      <c r="G7" s="3" t="inlineStr">
        <is>
          <t>YES</t>
        </is>
      </c>
    </row>
    <row r="8">
      <c r="A8" s="3" t="inlineStr">
        <is>
          <t>UDI-2026-005</t>
        </is>
      </c>
      <c r="B8" s="3" t="inlineStr">
        <is>
          <t>TME-419-VitA</t>
        </is>
      </c>
      <c r="C8" s="5" t="n">
        <v>12.8</v>
      </c>
      <c r="D8" s="5" t="n">
        <v>0.9</v>
      </c>
      <c r="E8" s="3" t="inlineStr">
        <is>
          <t>2026-09-22</t>
        </is>
      </c>
      <c r="F8" s="3" t="inlineStr">
        <is>
          <t>Standard yield</t>
        </is>
      </c>
      <c r="G8" s="3" t="inlineStr">
        <is>
          <t>YES</t>
        </is>
      </c>
    </row>
    <row r="9">
      <c r="A9" s="3" t="inlineStr">
        <is>
          <t>UDI-2026-006</t>
        </is>
      </c>
      <c r="B9" s="3" t="inlineStr">
        <is>
          <t>TME-419-VitA</t>
        </is>
      </c>
      <c r="C9" s="5" t="n">
        <v>13.5</v>
      </c>
      <c r="D9" s="5" t="n">
        <v>0.8</v>
      </c>
      <c r="E9" s="3" t="inlineStr">
        <is>
          <t>2026-09-22</t>
        </is>
      </c>
      <c r="F9" s="3" t="inlineStr">
        <is>
          <t>Standard yield</t>
        </is>
      </c>
      <c r="G9" s="3" t="inlineStr">
        <is>
          <t>YES</t>
        </is>
      </c>
    </row>
    <row r="10">
      <c r="A10" s="6" t="inlineStr">
        <is>
          <t>UDI-2026-007</t>
        </is>
      </c>
      <c r="B10" s="7" t="inlineStr">
        <is>
          <t>TME-419-VitA</t>
        </is>
      </c>
      <c r="C10" s="21" t="n">
        <v>14.2</v>
      </c>
      <c r="D10" s="9" t="n">
        <v>0.6</v>
      </c>
      <c r="E10" s="7" t="inlineStr">
        <is>
          <t>2026-09-22</t>
        </is>
      </c>
      <c r="F10" s="7" t="inlineStr">
        <is>
          <t>← canonical, pinned to field map A16 + Confluence</t>
        </is>
      </c>
      <c r="G10" s="7" t="inlineStr">
        <is>
          <t>YES (REFUTES SM3)</t>
        </is>
      </c>
    </row>
    <row r="11">
      <c r="A11" s="3" t="inlineStr">
        <is>
          <t>UDI-2026-008</t>
        </is>
      </c>
      <c r="B11" s="3" t="inlineStr">
        <is>
          <t>TME-419-VitA</t>
        </is>
      </c>
      <c r="C11" s="5" t="n">
        <v>13.9</v>
      </c>
      <c r="D11" s="5" t="n">
        <v>0.7</v>
      </c>
      <c r="E11" s="3" t="inlineStr">
        <is>
          <t>2026-09-23</t>
        </is>
      </c>
      <c r="F11" s="3" t="inlineStr">
        <is>
          <t>Standard yield</t>
        </is>
      </c>
      <c r="G11" s="3" t="inlineStr">
        <is>
          <t>YES</t>
        </is>
      </c>
    </row>
    <row r="12">
      <c r="A12" s="3" t="inlineStr">
        <is>
          <t>UDI-2026-009</t>
        </is>
      </c>
      <c r="B12" s="3" t="inlineStr">
        <is>
          <t>TME-419-VitA</t>
        </is>
      </c>
      <c r="C12" s="5" t="n">
        <v>12.1</v>
      </c>
      <c r="D12" s="5" t="n">
        <v>0.8</v>
      </c>
      <c r="E12" s="3" t="inlineStr">
        <is>
          <t>2026-09-23</t>
        </is>
      </c>
      <c r="F12" s="3" t="inlineStr">
        <is>
          <t>Standard yield</t>
        </is>
      </c>
      <c r="G12" s="3" t="inlineStr">
        <is>
          <t>YES</t>
        </is>
      </c>
    </row>
    <row r="13">
      <c r="A13" s="3" t="inlineStr">
        <is>
          <t>UDI-2026-010</t>
        </is>
      </c>
      <c r="B13" s="3" t="inlineStr">
        <is>
          <t>TME-419-VitA</t>
        </is>
      </c>
      <c r="C13" s="5" t="n">
        <v>15.3</v>
      </c>
      <c r="D13" s="5" t="n">
        <v>0.9</v>
      </c>
      <c r="E13" s="3" t="inlineStr">
        <is>
          <t>2026-09-24</t>
        </is>
      </c>
      <c r="F13" s="3" t="inlineStr">
        <is>
          <t>Standard yield</t>
        </is>
      </c>
      <c r="G13" s="3" t="inlineStr">
        <is>
          <t>YES</t>
        </is>
      </c>
    </row>
    <row r="14">
      <c r="A14" s="6" t="inlineStr">
        <is>
          <t>UDI-2026-070</t>
        </is>
      </c>
      <c r="B14" s="7" t="inlineStr">
        <is>
          <t>TME-419-VitA</t>
        </is>
      </c>
      <c r="C14" s="21" t="n">
        <v>16.8</v>
      </c>
      <c r="D14" s="9" t="n">
        <v>1.1</v>
      </c>
      <c r="E14" s="7" t="inlineStr">
        <is>
          <t>2026-09-24</t>
        </is>
      </c>
      <c r="F14" s="7" t="inlineStr">
        <is>
          <t>Highest yield, adjacency decoy</t>
        </is>
      </c>
      <c r="G14" s="7" t="inlineStr">
        <is>
          <t>YES (DECOY ANCHOR)</t>
        </is>
      </c>
    </row>
    <row r="15">
      <c r="A15" s="3" t="inlineStr">
        <is>
          <t>UDI-2026-Ctrl</t>
        </is>
      </c>
      <c r="B15" s="3" t="inlineStr">
        <is>
          <t>TMS-30572</t>
        </is>
      </c>
      <c r="C15" s="5" t="n">
        <v>9.699999999999999</v>
      </c>
      <c r="D15" s="5" t="n">
        <v>0.5</v>
      </c>
      <c r="E15" s="3" t="inlineStr">
        <is>
          <t>2026-09-25</t>
        </is>
      </c>
      <c r="F15" s="3" t="inlineStr">
        <is>
          <t>Non-bio control</t>
        </is>
      </c>
      <c r="G15" s="3" t="inlineStr">
        <is>
          <t>YES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10" t="inlineStr">
        <is>
          <t>Document</t>
        </is>
      </c>
      <c r="B2" s="3" t="inlineStr">
        <is>
          <t>Cassava biofortification analysis (HPLC + yield)</t>
        </is>
      </c>
    </row>
    <row r="3">
      <c r="A3" s="10" t="inlineStr">
        <is>
          <t>Schema version</t>
        </is>
      </c>
      <c r="B3" s="3" t="inlineStr">
        <is>
          <t>v1.2</t>
        </is>
      </c>
    </row>
    <row r="4">
      <c r="A4" s="10" t="inlineStr">
        <is>
          <t>Generated by</t>
        </is>
      </c>
      <c r="B4" s="3" t="inlineStr">
        <is>
          <t>task/tools/generate_cassava_analysis.py</t>
        </is>
      </c>
    </row>
    <row r="5">
      <c r="A5" s="10" t="inlineStr">
        <is>
          <t>Generator deterministic?</t>
        </is>
      </c>
      <c r="B5" s="3" t="inlineStr">
        <is>
          <t>YES (no LLM, no network) — BRIEF §2.1</t>
        </is>
      </c>
    </row>
    <row r="6">
      <c r="A6" s="10" t="inlineStr">
        <is>
          <t>Mode</t>
        </is>
      </c>
      <c r="B6" s="3" t="inlineStr">
        <is>
          <t>DEFAULT (pre-T45)</t>
        </is>
      </c>
    </row>
    <row r="7">
      <c r="A7" s="10" t="inlineStr">
        <is>
          <t>Sample window</t>
        </is>
      </c>
      <c r="B7" s="3" t="inlineStr">
        <is>
          <t>2026-09-20 → 2026-09-27 (12 Udi plots, 24 sample-days)</t>
        </is>
      </c>
    </row>
    <row r="8">
      <c r="A8" s="10" t="inlineStr">
        <is>
          <t>HPLC operator</t>
        </is>
      </c>
      <c r="B8" s="3" t="inlineStr">
        <is>
          <t>Akpan Idongesit (akpan.idongesit@eacri.ke)</t>
        </is>
      </c>
    </row>
    <row r="9">
      <c r="A9" s="10" t="inlineStr">
        <is>
          <t>Instrument</t>
        </is>
      </c>
      <c r="B9" s="3" t="inlineStr">
        <is>
          <t>Agilent 1260 Infinity II</t>
        </is>
      </c>
    </row>
    <row r="10">
      <c r="A10" s="10" t="inlineStr">
        <is>
          <t>Method</t>
        </is>
      </c>
      <c r="B10" s="3" t="inlineStr">
        <is>
          <t>AOAC 941.15 (modified for cassava tuber matrix)</t>
        </is>
      </c>
    </row>
    <row r="11">
      <c r="A11" s="10" t="inlineStr">
        <is>
          <t>Canonical anchor cell</t>
        </is>
      </c>
      <c r="B11" s="3" t="inlineStr">
        <is>
          <t>Beta_Carotene_Summary!H22</t>
        </is>
      </c>
    </row>
    <row r="12">
      <c r="A12" s="10" t="inlineStr">
        <is>
          <t>H22 value</t>
        </is>
      </c>
      <c r="B12" s="3" t="inlineStr">
        <is>
          <t>8.4 ug/g FW</t>
        </is>
      </c>
    </row>
    <row r="13">
      <c r="A13" s="10" t="inlineStr">
        <is>
          <t>H22 supersedes (if --post-T45)</t>
        </is>
      </c>
      <c r="B13" s="3" t="inlineStr">
        <is>
          <t>(this is the default 8.4 anchor)</t>
        </is>
      </c>
    </row>
    <row r="14">
      <c r="A14" s="10" t="inlineStr">
        <is>
          <t>Mutation linkage (SM9)</t>
        </is>
      </c>
      <c r="B14" s="3" t="inlineStr">
        <is>
          <t>Default H22=8.4 is BEFORE-SM9; --post-T45 H22=12.6 is AFTER-SM9</t>
        </is>
      </c>
    </row>
    <row r="15">
      <c r="A15" s="10" t="inlineStr">
        <is>
          <t>Recency rule</t>
        </is>
      </c>
      <c r="B15" s="3" t="inlineStr">
        <is>
          <t>Akpan re-run timestamp &gt;= 2026-10-09 required to accept 12.6</t>
        </is>
      </c>
    </row>
    <row r="16">
      <c r="A16" s="10" t="inlineStr">
        <is>
          <t>Companion yield anchor</t>
        </is>
      </c>
      <c r="B16" s="3" t="inlineStr">
        <is>
          <t>Yield_data!C10 = 14.2 kg/m^2 (UDI-2026-007, REFUTES SM3)</t>
        </is>
      </c>
    </row>
    <row r="17">
      <c r="A17" s="10" t="inlineStr">
        <is>
          <t>Decoy</t>
        </is>
      </c>
      <c r="B17" s="3" t="inlineStr">
        <is>
          <t>Yield_data!C14 = 16.8 kg/m^2 (UDI-2026-070, adjacency)</t>
        </is>
      </c>
    </row>
    <row r="18">
      <c r="A18" s="10" t="inlineStr">
        <is>
          <t>Reference task.py turns</t>
        </is>
      </c>
      <c r="B18" s="3" t="inlineStr">
        <is>
          <t>T18 (Adaeze cite), T22 (manuscript), T45+ (post-rerun)</t>
        </is>
      </c>
    </row>
    <row r="19">
      <c r="A19" s="10" t="inlineStr">
        <is>
          <t>Source-of-truth tuples</t>
        </is>
      </c>
      <c r="B19" s="3" t="inlineStr">
        <is>
          <t>_summary_data() + YIELD_DATA (Appendix C of plan-008)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task/tools/generate_cassava_analysis.py</dc:creator>
  <dc:title xmlns:dc="http://purl.org/dc/elements/1.1/">Cassava biofortification analysis</dc:title>
  <dc:description xmlns:dc="http://purl.org/dc/elements/1.1/">Cassava HPLC + yield analysis. Anchor: Beta_Carotene_Summary!H22 = 8.4.</dc:description>
  <dcterms:created xmlns:dcterms="http://purl.org/dc/terms/" xmlns:xsi="http://www.w3.org/2001/XMLSchema-instance" xsi:type="dcterms:W3CDTF">2026-09-25T16:30:00Z</dcterms:created>
  <dcterms:modified xmlns:dcterms="http://purl.org/dc/terms/" xmlns:xsi="http://www.w3.org/2001/XMLSchema-instance" xsi:type="dcterms:W3CDTF">2026-06-02T06:04:42Z</dcterms:modified>
  <cp:lastModifiedBy>akpan.idongesit@eacri.ke</cp:lastModifiedBy>
</cp:coreProperties>
</file>