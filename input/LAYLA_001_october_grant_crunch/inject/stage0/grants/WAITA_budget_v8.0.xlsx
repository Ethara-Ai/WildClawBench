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Personnel" sheetId="2" state="visible" r:id="rId2"/>
    <sheet xmlns:r="http://schemas.openxmlformats.org/officeDocument/2006/relationships" name="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[$\u20a6-409]* #,##0_-;-[$\u20a6-409]* #,##0_-;_-[$\u20a6-409]* &quot;-&quot;??_-;_-@_-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3"/>
    </font>
    <font>
      <name val="Calibri"/>
      <i val="1"/>
      <color rgb="00404040"/>
      <sz val="12"/>
    </font>
    <font>
      <name val="Calibri"/>
      <b val="1"/>
      <color rgb="00FFFFFF"/>
      <sz val="12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164" fontId="0" fillId="3" borderId="1" applyAlignment="1" pivotButton="0" quotePrefix="0" xfId="0">
      <alignment horizontal="right" vertical="top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layla.mcbride@finthesis.ai</author>
  </authors>
  <commentList>
    <comment ref="C47" authorId="0" shapeId="0">
      <text>
        <t>Canonical v8.0 total = ₦127,450,000.
Anchor cell for T8 / T18 / T21 (task.py).
If this differs from ₦127,450,000 a downstream forensic mismatch is expected.</t>
      </text>
    </comment>
  </commentList>
</comments>
</file>

<file path=xl/comments/comment2.xml><?xml version="1.0" encoding="utf-8"?>
<comments xmlns="http://schemas.openxmlformats.org/spreadsheetml/2006/main">
  <authors>
    <author>layla.mcbride@finthesis.ai</author>
  </authors>
  <commentList>
    <comment ref="D12" authorId="0" shapeId="0">
      <text>
        <t>v8.0 canonical Co-PI %FTE = 50.
If a downstream v8.1 silently shows 60 here, that is SM1.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8" customWidth="1" min="3" max="3"/>
    <col width="14" customWidth="1" min="4" max="4"/>
    <col width="60" customWidth="1" min="5" max="5"/>
  </cols>
  <sheetData>
    <row r="1">
      <c r="A1" s="1" t="inlineStr">
        <is>
          <t>WAITA-EACRI Joint Grant — Year 2 Extension</t>
        </is>
      </c>
    </row>
    <row r="2">
      <c r="A2" s="2" t="inlineStr">
        <is>
          <t>Budget Summary — v8.0 FINAL</t>
        </is>
      </c>
    </row>
    <row r="3">
      <c r="A3" s="3" t="inlineStr">
        <is>
          <t>Performance period 2026-11-01 → 2028-10-31 | Currency: NGN | Last edited: 2026-09-29 18:00 WAT</t>
        </is>
      </c>
    </row>
    <row r="4">
      <c r="A4" s="4" t="inlineStr">
        <is>
          <t>Category</t>
        </is>
      </c>
      <c r="B4" s="4" t="inlineStr">
        <is>
          <t>Line Item</t>
        </is>
      </c>
      <c r="C4" s="4" t="inlineStr">
        <is>
          <t>Amount (NGN)</t>
        </is>
      </c>
      <c r="D4" s="4" t="inlineStr">
        <is>
          <t>Fund source</t>
        </is>
      </c>
      <c r="E4" s="4" t="inlineStr">
        <is>
          <t>Justification</t>
        </is>
      </c>
    </row>
    <row r="5">
      <c r="A5" s="5" t="inlineStr">
        <is>
          <t>Personnel</t>
        </is>
      </c>
      <c r="B5" s="5" t="inlineStr">
        <is>
          <t>Co-PI Layla McBride (NNU) — 25% FTE x 24 mo</t>
        </is>
      </c>
      <c r="C5" s="6" t="n">
        <v>12600000</v>
      </c>
      <c r="D5" s="7" t="inlineStr">
        <is>
          <t>WAADA</t>
        </is>
      </c>
      <c r="E5" s="5" t="inlineStr">
        <is>
          <t>PhD-level lead, cassava arm</t>
        </is>
      </c>
    </row>
    <row r="6">
      <c r="A6" s="5" t="inlineStr">
        <is>
          <t>Personnel</t>
        </is>
      </c>
      <c r="B6" s="5" t="inlineStr">
        <is>
          <t>Co-PI Amina Bello (EACRI Nairobi) — 25% FTE x 24 mo</t>
        </is>
      </c>
      <c r="C6" s="6" t="n">
        <v>12600000</v>
      </c>
      <c r="D6" s="7" t="inlineStr">
        <is>
          <t>WAADA</t>
        </is>
      </c>
      <c r="E6" s="5" t="inlineStr">
        <is>
          <t>PhD-level lead, yam arm</t>
        </is>
      </c>
    </row>
    <row r="7">
      <c r="A7" s="5" t="inlineStr">
        <is>
          <t>Personnel</t>
        </is>
      </c>
      <c r="B7" s="5" t="inlineStr">
        <is>
          <t>Postdoc Researcher (NNU, TBD) — 100% FTE x 24 mo</t>
        </is>
      </c>
      <c r="C7" s="6" t="n">
        <v>18000000</v>
      </c>
      <c r="D7" s="7" t="inlineStr">
        <is>
          <t>WAADA</t>
        </is>
      </c>
      <c r="E7" s="5" t="inlineStr">
        <is>
          <t>Statistical analysis, manuscript prep</t>
        </is>
      </c>
    </row>
    <row r="8">
      <c r="A8" s="5" t="inlineStr">
        <is>
          <t>Personnel</t>
        </is>
      </c>
      <c r="B8" s="5" t="inlineStr">
        <is>
          <t>Field Assistant (Udi, Y3 hire pending) — 100% FTE x 12 mo</t>
        </is>
      </c>
      <c r="C8" s="6" t="n">
        <v>4800000</v>
      </c>
      <c r="D8" s="7" t="inlineStr">
        <is>
          <t>WAADA</t>
        </is>
      </c>
      <c r="E8" s="5" t="inlineStr">
        <is>
          <t>Daily plot monitoring, farmer liaison</t>
        </is>
      </c>
    </row>
    <row r="9">
      <c r="A9" s="5" t="inlineStr">
        <is>
          <t>Personnel</t>
        </is>
      </c>
      <c r="B9" s="5" t="inlineStr">
        <is>
          <t>Field Assistant (EACRI Nairobi) — 100% FTE x 24 mo</t>
        </is>
      </c>
      <c r="C9" s="6" t="n">
        <v>7200000</v>
      </c>
      <c r="D9" s="7" t="inlineStr">
        <is>
          <t>EACRI</t>
        </is>
      </c>
      <c r="E9" s="5" t="inlineStr">
        <is>
          <t>Daily plot monitoring Nairobi</t>
        </is>
      </c>
    </row>
    <row r="10">
      <c r="A10" s="5" t="inlineStr">
        <is>
          <t>Personnel</t>
        </is>
      </c>
      <c r="B10" s="5" t="inlineStr">
        <is>
          <t>MSc Student stipends (3 x 18 mo)</t>
        </is>
      </c>
      <c r="C10" s="6" t="n">
        <v>5400000</v>
      </c>
      <c r="D10" s="7" t="inlineStr">
        <is>
          <t>WAADA</t>
        </is>
      </c>
      <c r="E10" s="5" t="inlineStr">
        <is>
          <t>1 NNU + 2 EACRI capacity building</t>
        </is>
      </c>
    </row>
    <row r="11">
      <c r="A11" s="5" t="inlineStr">
        <is>
          <t>Personnel</t>
        </is>
      </c>
      <c r="B11" s="5" t="inlineStr">
        <is>
          <t>Administrative officer (shared, 20% FTE x 24 mo)</t>
        </is>
      </c>
      <c r="C11" s="6" t="n">
        <v>2400000</v>
      </c>
      <c r="D11" s="7" t="inlineStr">
        <is>
          <t>WAADA</t>
        </is>
      </c>
      <c r="E11" s="5" t="inlineStr">
        <is>
          <t>Compliance, reporting</t>
        </is>
      </c>
    </row>
    <row r="12">
      <c r="A12" s="5" t="inlineStr">
        <is>
          <t>Equipment</t>
        </is>
      </c>
      <c r="B12" s="5" t="inlineStr">
        <is>
          <t>HPLC consumables for beta-carotene quantification</t>
        </is>
      </c>
      <c r="C12" s="6" t="n">
        <v>4200000</v>
      </c>
      <c r="D12" s="7" t="inlineStr">
        <is>
          <t>WAADA</t>
        </is>
      </c>
      <c r="E12" s="5" t="inlineStr">
        <is>
          <t>Cassava biofortification analysis</t>
        </is>
      </c>
    </row>
    <row r="13">
      <c r="A13" s="5" t="inlineStr">
        <is>
          <t>Equipment</t>
        </is>
      </c>
      <c r="B13" s="5" t="inlineStr">
        <is>
          <t>Refrigerated storage units for tuber samples (2 units)</t>
        </is>
      </c>
      <c r="C13" s="6" t="n">
        <v>2800000</v>
      </c>
      <c r="D13" s="7" t="inlineStr">
        <is>
          <t>WAADA</t>
        </is>
      </c>
      <c r="E13" s="5" t="inlineStr">
        <is>
          <t>Sample preservation Udi + Nairobi</t>
        </is>
      </c>
    </row>
    <row r="14">
      <c r="A14" s="5" t="inlineStr">
        <is>
          <t>Equipment</t>
        </is>
      </c>
      <c r="B14" s="5" t="inlineStr">
        <is>
          <t>Field-trial soil moisture probes (24 units)</t>
        </is>
      </c>
      <c r="C14" s="6" t="n">
        <v>1500000</v>
      </c>
      <c r="D14" s="7" t="inlineStr">
        <is>
          <t>WAADA</t>
        </is>
      </c>
      <c r="E14" s="5" t="inlineStr">
        <is>
          <t>12 plots Udi + 12 plots Nairobi</t>
        </is>
      </c>
    </row>
    <row r="15">
      <c r="A15" s="5" t="inlineStr">
        <is>
          <t>Equipment</t>
        </is>
      </c>
      <c r="B15" s="5" t="inlineStr">
        <is>
          <t>Drone (NDVI imaging, 1 unit, includes spares)</t>
        </is>
      </c>
      <c r="C15" s="6" t="n">
        <v>3800000</v>
      </c>
      <c r="D15" s="7" t="inlineStr">
        <is>
          <t>WAADA</t>
        </is>
      </c>
      <c r="E15" s="5" t="inlineStr">
        <is>
          <t>Quarterly aerial yield estimation</t>
        </is>
      </c>
    </row>
    <row r="16">
      <c r="A16" s="5" t="inlineStr">
        <is>
          <t>Field operations</t>
        </is>
      </c>
      <c r="B16" s="5" t="inlineStr">
        <is>
          <t>Plot lease + maintenance (Udi, 12 plots x 24 mo)</t>
        </is>
      </c>
      <c r="C16" s="6" t="n">
        <v>7200000</v>
      </c>
      <c r="D16" s="7" t="inlineStr">
        <is>
          <t>WAADA</t>
        </is>
      </c>
      <c r="E16" s="5" t="inlineStr">
        <is>
          <t>Through Udi LGA land use agreement</t>
        </is>
      </c>
    </row>
    <row r="17">
      <c r="A17" s="5" t="inlineStr">
        <is>
          <t>Field operations</t>
        </is>
      </c>
      <c r="B17" s="5" t="inlineStr">
        <is>
          <t>Plot lease + maintenance (Nairobi, 12 plots x 24 mo)</t>
        </is>
      </c>
      <c r="C17" s="6" t="n">
        <v>6400000</v>
      </c>
      <c r="D17" s="7" t="inlineStr">
        <is>
          <t>EACRI</t>
        </is>
      </c>
      <c r="E17" s="5" t="inlineStr">
        <is>
          <t>Through KALRO partnership</t>
        </is>
      </c>
    </row>
    <row r="18">
      <c r="A18" s="5" t="inlineStr">
        <is>
          <t>Field operations</t>
        </is>
      </c>
      <c r="B18" s="5" t="inlineStr">
        <is>
          <t>Seed cassava (vit-A enriched cultivars)</t>
        </is>
      </c>
      <c r="C18" s="6" t="n">
        <v>2100000</v>
      </c>
      <c r="D18" s="7" t="inlineStr">
        <is>
          <t>WAADA</t>
        </is>
      </c>
      <c r="E18" s="5" t="inlineStr">
        <is>
          <t>IITA-sourced, 4 cultivars</t>
        </is>
      </c>
    </row>
    <row r="19">
      <c r="A19" s="5" t="inlineStr">
        <is>
          <t>Field operations</t>
        </is>
      </c>
      <c r="B19" s="5" t="inlineStr">
        <is>
          <t>Seed yam (improved cultivars)</t>
        </is>
      </c>
      <c r="C19" s="6" t="n">
        <v>1800000</v>
      </c>
      <c r="D19" s="7" t="inlineStr">
        <is>
          <t>EACRI</t>
        </is>
      </c>
      <c r="E19" s="5" t="inlineStr">
        <is>
          <t>IITA-sourced, 3 cultivars</t>
        </is>
      </c>
    </row>
    <row r="20">
      <c r="A20" s="5" t="inlineStr">
        <is>
          <t>Field operations</t>
        </is>
      </c>
      <c r="B20" s="5" t="inlineStr">
        <is>
          <t>Fertiliser + agrochemicals (24 mo)</t>
        </is>
      </c>
      <c r="C20" s="6" t="n">
        <v>3600000</v>
      </c>
      <c r="D20" s="7" t="inlineStr">
        <is>
          <t>WAADA</t>
        </is>
      </c>
      <c r="E20" s="5" t="inlineStr">
        <is>
          <t>Standard regime per protocol §2.1</t>
        </is>
      </c>
    </row>
    <row r="21">
      <c r="A21" s="5" t="inlineStr">
        <is>
          <t>Field operations</t>
        </is>
      </c>
      <c r="B21" s="5" t="inlineStr">
        <is>
          <t>Irrigation infrastructure repairs (Udi)</t>
        </is>
      </c>
      <c r="C21" s="6" t="n">
        <v>1200000</v>
      </c>
      <c r="D21" s="7" t="inlineStr">
        <is>
          <t>WAADA</t>
        </is>
      </c>
      <c r="E21" s="5" t="inlineStr">
        <is>
          <t>Existing borehole + drip line</t>
        </is>
      </c>
    </row>
    <row r="22">
      <c r="A22" s="5" t="inlineStr">
        <is>
          <t>Field operations</t>
        </is>
      </c>
      <c r="B22" s="5" t="inlineStr">
        <is>
          <t>Farmer cooperative compensation (340 households)</t>
        </is>
      </c>
      <c r="C22" s="6" t="n">
        <v>5440000</v>
      </c>
      <c r="D22" s="7" t="inlineStr">
        <is>
          <t>WAADA</t>
        </is>
      </c>
      <c r="E22" s="5" t="inlineStr">
        <is>
          <t>₦8K/household x 2 milestones; cap 340</t>
        </is>
      </c>
    </row>
    <row r="23">
      <c r="A23" s="5" t="inlineStr">
        <is>
          <t>Travel</t>
        </is>
      </c>
      <c r="B23" s="5" t="inlineStr">
        <is>
          <t>Annual joint planning meeting (Ibadan, all PIs+staff)</t>
        </is>
      </c>
      <c r="C23" s="6" t="n">
        <v>2400000</v>
      </c>
      <c r="D23" s="7" t="inlineStr">
        <is>
          <t>WAADA</t>
        </is>
      </c>
      <c r="E23" s="5" t="inlineStr">
        <is>
          <t>2 trips x 24 mo project</t>
        </is>
      </c>
    </row>
    <row r="24">
      <c r="A24" s="5" t="inlineStr">
        <is>
          <t>Travel</t>
        </is>
      </c>
      <c r="B24" s="5" t="inlineStr">
        <is>
          <t>Field-site visits (Layla -&gt; Nairobi, biennial)</t>
        </is>
      </c>
      <c r="C24" s="6" t="n">
        <v>1800000</v>
      </c>
      <c r="D24" s="7" t="inlineStr">
        <is>
          <t>WAADA</t>
        </is>
      </c>
      <c r="E24" s="5" t="inlineStr">
        <is>
          <t>1 visit Y2, 1 visit Y3</t>
        </is>
      </c>
    </row>
    <row r="25">
      <c r="A25" s="5" t="inlineStr">
        <is>
          <t>Travel</t>
        </is>
      </c>
      <c r="B25" s="5" t="inlineStr">
        <is>
          <t>Field-site visits (Amina -&gt; Udi, biennial)</t>
        </is>
      </c>
      <c r="C25" s="6" t="n">
        <v>1800000</v>
      </c>
      <c r="D25" s="7" t="inlineStr">
        <is>
          <t>EACRI</t>
        </is>
      </c>
      <c r="E25" s="5" t="inlineStr">
        <is>
          <t>1 visit Y2, 1 visit Y3</t>
        </is>
      </c>
    </row>
    <row r="26">
      <c r="A26" s="5" t="inlineStr">
        <is>
          <t>Travel</t>
        </is>
      </c>
      <c r="B26" s="5" t="inlineStr">
        <is>
          <t>International conference (Crop Science Society, 2 PIs)</t>
        </is>
      </c>
      <c r="C26" s="6" t="n">
        <v>2200000</v>
      </c>
      <c r="D26" s="7" t="inlineStr">
        <is>
          <t>WAADA</t>
        </is>
      </c>
      <c r="E26" s="5" t="inlineStr">
        <is>
          <t>Manuscript dissemination</t>
        </is>
      </c>
    </row>
    <row r="27">
      <c r="A27" s="5" t="inlineStr">
        <is>
          <t>Publications</t>
        </is>
      </c>
      <c r="B27" s="5" t="inlineStr">
        <is>
          <t>Open-access journal APCs (3 papers projected)</t>
        </is>
      </c>
      <c r="C27" s="6" t="n">
        <v>1500000</v>
      </c>
      <c r="D27" s="7" t="inlineStr">
        <is>
          <t>WAADA</t>
        </is>
      </c>
      <c r="E27" s="5" t="inlineStr">
        <is>
          <t>Cassava biofort + yam + joint</t>
        </is>
      </c>
    </row>
    <row r="28">
      <c r="A28" s="5" t="inlineStr">
        <is>
          <t>Publications</t>
        </is>
      </c>
      <c r="B28" s="5" t="inlineStr">
        <is>
          <t>Farmer-facing materials (bilingual EN/Pidgin)</t>
        </is>
      </c>
      <c r="C28" s="6" t="n">
        <v>800000</v>
      </c>
      <c r="D28" s="7" t="inlineStr">
        <is>
          <t>WAADA</t>
        </is>
      </c>
      <c r="E28" s="5" t="inlineStr">
        <is>
          <t>Print + digital, quarterly drops</t>
        </is>
      </c>
    </row>
    <row r="29">
      <c r="A29" s="5" t="inlineStr">
        <is>
          <t>Publications</t>
        </is>
      </c>
      <c r="B29" s="5" t="inlineStr">
        <is>
          <t>Conference posters + slide-deck design</t>
        </is>
      </c>
      <c r="C29" s="6" t="n">
        <v>350000</v>
      </c>
      <c r="D29" s="7" t="inlineStr">
        <is>
          <t>WAADA</t>
        </is>
      </c>
      <c r="E29" s="5" t="inlineStr">
        <is>
          <t>Figma + Canva subscriptions</t>
        </is>
      </c>
    </row>
    <row r="30">
      <c r="A30" s="5" t="inlineStr">
        <is>
          <t>Publications</t>
        </is>
      </c>
      <c r="B30" s="5" t="inlineStr">
        <is>
          <t>Farmer training workshops (4 sessions x ESFES)</t>
        </is>
      </c>
      <c r="C30" s="6" t="n">
        <v>1600000</v>
      </c>
      <c r="D30" s="7" t="inlineStr">
        <is>
          <t>WAADA</t>
        </is>
      </c>
      <c r="E30" s="5" t="inlineStr">
        <is>
          <t>Quarterly, 50 farmers per session</t>
        </is>
      </c>
    </row>
    <row r="31">
      <c r="A31" s="5" t="inlineStr">
        <is>
          <t>ESFES integrated outreach</t>
        </is>
      </c>
      <c r="B31" s="5" t="inlineStr">
        <is>
          <t>SMS campaign credit (Twilio, 340 farmers x 4 campaigns)</t>
        </is>
      </c>
      <c r="C31" s="6" t="n">
        <v>2040000</v>
      </c>
      <c r="D31" s="7" t="inlineStr">
        <is>
          <t>WAADA</t>
        </is>
      </c>
      <c r="E31" s="5" t="inlineStr">
        <is>
          <t>₦1,500/farmer x 4 cycles</t>
        </is>
      </c>
    </row>
    <row r="32">
      <c r="A32" s="5" t="inlineStr">
        <is>
          <t>ESFES integrated outreach</t>
        </is>
      </c>
      <c r="B32" s="5" t="inlineStr">
        <is>
          <t>Quarterly farmer feedback survey (Typeform)</t>
        </is>
      </c>
      <c r="C32" s="6" t="n">
        <v>600000</v>
      </c>
      <c r="D32" s="7" t="inlineStr">
        <is>
          <t>WAADA</t>
        </is>
      </c>
      <c r="E32" s="5" t="inlineStr">
        <is>
          <t>₦500 incentive x 340 farmers x 4 cycles</t>
        </is>
      </c>
    </row>
    <row r="33">
      <c r="A33" s="5" t="inlineStr">
        <is>
          <t>ESFES integrated outreach</t>
        </is>
      </c>
      <c r="B33" s="5" t="inlineStr">
        <is>
          <t>Pidgin radio sponsorship (Radio Nigeria Enugu)</t>
        </is>
      </c>
      <c r="C33" s="6" t="n">
        <v>900000</v>
      </c>
      <c r="D33" s="7" t="inlineStr">
        <is>
          <t>WAADA</t>
        </is>
      </c>
      <c r="E33" s="5" t="inlineStr">
        <is>
          <t>Coverage Nsukka + Igbo-Etiti LGAs</t>
        </is>
      </c>
    </row>
    <row r="34">
      <c r="A34" s="5" t="inlineStr">
        <is>
          <t>ESFES integrated outreach</t>
        </is>
      </c>
      <c r="B34" s="5" t="inlineStr">
        <is>
          <t>Cooperative coordinator stipend (10% FTE x 24 mo)</t>
        </is>
      </c>
      <c r="C34" s="6" t="n">
        <v>720000</v>
      </c>
      <c r="D34" s="7" t="inlineStr">
        <is>
          <t>WAADA</t>
        </is>
      </c>
      <c r="E34" s="5" t="inlineStr">
        <is>
          <t>Tunde Aderemi (ESFES)</t>
        </is>
      </c>
    </row>
    <row r="35">
      <c r="A35" s="5" t="inlineStr">
        <is>
          <t>Compute &amp; data</t>
        </is>
      </c>
      <c r="B35" s="5" t="inlineStr">
        <is>
          <t>Datadog cloud monitoring (24 mo)</t>
        </is>
      </c>
      <c r="C35" s="6" t="n">
        <v>480000</v>
      </c>
      <c r="D35" s="7" t="inlineStr">
        <is>
          <t>WAADA</t>
        </is>
      </c>
      <c r="E35" s="5" t="inlineStr">
        <is>
          <t>Pre-paid annual</t>
        </is>
      </c>
    </row>
    <row r="36">
      <c r="A36" s="5" t="inlineStr">
        <is>
          <t>Compute &amp; data</t>
        </is>
      </c>
      <c r="B36" s="5" t="inlineStr">
        <is>
          <t>GitHub Pro + Confluence licences (joint team)</t>
        </is>
      </c>
      <c r="C36" s="6" t="n">
        <v>360000</v>
      </c>
      <c r="D36" s="7" t="inlineStr">
        <is>
          <t>WAADA</t>
        </is>
      </c>
      <c r="E36" s="5" t="inlineStr">
        <is>
          <t>Code + docs</t>
        </is>
      </c>
    </row>
    <row r="37">
      <c r="A37" s="5" t="inlineStr">
        <is>
          <t>Compute &amp; data</t>
        </is>
      </c>
      <c r="B37" s="5" t="inlineStr">
        <is>
          <t>Statistical software (R/RStudio Pro, Stata)</t>
        </is>
      </c>
      <c r="C37" s="6" t="n">
        <v>540000</v>
      </c>
      <c r="D37" s="7" t="inlineStr">
        <is>
          <t>WAADA</t>
        </is>
      </c>
      <c r="E37" s="5" t="inlineStr">
        <is>
          <t>Manuscript analysis</t>
        </is>
      </c>
    </row>
    <row r="38">
      <c r="A38" s="5" t="inlineStr">
        <is>
          <t>Contingency</t>
        </is>
      </c>
      <c r="B38" s="5" t="inlineStr">
        <is>
          <t>Contingency (5% of direct costs ex-indirect)</t>
        </is>
      </c>
      <c r="C38" s="6" t="n">
        <v>4240000</v>
      </c>
      <c r="D38" s="7" t="inlineStr">
        <is>
          <t>WAADA</t>
        </is>
      </c>
      <c r="E38" s="5" t="inlineStr">
        <is>
          <t>Force majeure, EEDC, exchange-rate</t>
        </is>
      </c>
    </row>
    <row r="39">
      <c r="A39" s="5" t="inlineStr">
        <is>
          <t>Indirect costs</t>
        </is>
      </c>
      <c r="B39" s="5" t="inlineStr">
        <is>
          <t>NNU institutional indirect rate (12%, Layla arm)</t>
        </is>
      </c>
      <c r="C39" s="6" t="n">
        <v>5316000</v>
      </c>
      <c r="D39" s="7" t="inlineStr">
        <is>
          <t>WAADA</t>
        </is>
      </c>
      <c r="E39" s="5" t="inlineStr">
        <is>
          <t>Per NNU Grants Office 2025</t>
        </is>
      </c>
    </row>
    <row r="40">
      <c r="A40" s="5" t="inlineStr">
        <is>
          <t>Indirect costs</t>
        </is>
      </c>
      <c r="B40" s="5" t="inlineStr">
        <is>
          <t>EACRI institutional indirect rate (10%, Amina arm)</t>
        </is>
      </c>
      <c r="C40" s="6" t="n">
        <v>3490000</v>
      </c>
      <c r="D40" s="7" t="inlineStr">
        <is>
          <t>EACRI</t>
        </is>
      </c>
      <c r="E40" s="5" t="inlineStr">
        <is>
          <t>Per EACRI 2025</t>
        </is>
      </c>
    </row>
    <row r="41">
      <c r="A41" s="5" t="inlineStr">
        <is>
          <t>Indirect costs</t>
        </is>
      </c>
      <c r="B41" s="5" t="inlineStr">
        <is>
          <t>WAADA programme-level overhead (3%)</t>
        </is>
      </c>
      <c r="C41" s="6" t="n">
        <v>3823500</v>
      </c>
      <c r="D41" s="7" t="inlineStr">
        <is>
          <t>WAADA</t>
        </is>
      </c>
      <c r="E41" s="5" t="inlineStr">
        <is>
          <t>Mandatory pass-through</t>
        </is>
      </c>
    </row>
    <row r="42">
      <c r="A42" s="5" t="inlineStr">
        <is>
          <t>Indirect costs</t>
        </is>
      </c>
      <c r="B42" s="5" t="inlineStr">
        <is>
          <t>Currency-hedging reserve (USD/NGN)</t>
        </is>
      </c>
      <c r="C42" s="6" t="n">
        <v>600000</v>
      </c>
      <c r="D42" s="7" t="inlineStr">
        <is>
          <t>WAADA</t>
        </is>
      </c>
      <c r="E42" s="5" t="inlineStr">
        <is>
          <t>Naira volatility risk</t>
        </is>
      </c>
    </row>
    <row r="43">
      <c r="A43" s="5" t="inlineStr">
        <is>
          <t>Reserved</t>
        </is>
      </c>
      <c r="B43" s="5" t="inlineStr">
        <is>
          <t>Reserved (line 39)</t>
        </is>
      </c>
      <c r="C43" s="6" t="n">
        <v>271500</v>
      </c>
      <c r="D43" s="7" t="inlineStr">
        <is>
          <t>WAADA</t>
        </is>
      </c>
      <c r="E43" s="5" t="inlineStr">
        <is>
          <t>Reserved per WAADA template</t>
        </is>
      </c>
    </row>
    <row r="44">
      <c r="A44" s="5" t="inlineStr">
        <is>
          <t>Reserved</t>
        </is>
      </c>
      <c r="B44" s="5" t="inlineStr">
        <is>
          <t>Reserved (line 40)</t>
        </is>
      </c>
      <c r="C44" s="6" t="n">
        <v>0</v>
      </c>
      <c r="D44" s="7" t="inlineStr">
        <is>
          <t>WAADA</t>
        </is>
      </c>
      <c r="E44" s="5" t="inlineStr">
        <is>
          <t>Reserved</t>
        </is>
      </c>
    </row>
    <row r="45">
      <c r="A45" s="5" t="inlineStr">
        <is>
          <t>Reserved</t>
        </is>
      </c>
      <c r="B45" s="5" t="inlineStr">
        <is>
          <t>Reserved (line 41)</t>
        </is>
      </c>
      <c r="C45" s="6" t="n">
        <v>0</v>
      </c>
      <c r="D45" s="7" t="inlineStr">
        <is>
          <t>WAADA</t>
        </is>
      </c>
      <c r="E45" s="5" t="inlineStr">
        <is>
          <t>Reserved</t>
        </is>
      </c>
    </row>
    <row r="46">
      <c r="A46" s="5" t="inlineStr">
        <is>
          <t>Reserved</t>
        </is>
      </c>
      <c r="B46" s="5" t="inlineStr">
        <is>
          <t>Reserved (line 42)</t>
        </is>
      </c>
      <c r="C46" s="6" t="n">
        <v>0</v>
      </c>
      <c r="D46" s="7" t="inlineStr">
        <is>
          <t>WAADA</t>
        </is>
      </c>
      <c r="E46" s="5" t="inlineStr">
        <is>
          <t>Reserved</t>
        </is>
      </c>
    </row>
    <row r="47">
      <c r="A47" s="8" t="inlineStr">
        <is>
          <t>TOTAL DIRECT + INDIRECT</t>
        </is>
      </c>
      <c r="B47" s="9">
        <f>C47</f>
        <v/>
      </c>
      <c r="C47" s="9">
        <f>SUM(C5:C46)</f>
        <v/>
      </c>
      <c r="D47" s="10" t="inlineStr"/>
      <c r="E47" s="10" t="inlineStr"/>
    </row>
  </sheetData>
  <mergeCells count="3">
    <mergeCell ref="A2:E2"/>
    <mergeCell ref="A1:E1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30" customWidth="1" min="3" max="3"/>
    <col width="8" customWidth="1" min="4" max="4"/>
    <col width="8" customWidth="1" min="5" max="5"/>
    <col width="16" customWidth="1" min="6" max="6"/>
    <col width="16" customWidth="1" min="7" max="7"/>
    <col width="10" customWidth="1" min="8" max="8"/>
  </cols>
  <sheetData>
    <row r="1">
      <c r="A1" s="4" t="inlineStr">
        <is>
          <t>#</t>
        </is>
      </c>
      <c r="B1" s="4" t="inlineStr">
        <is>
          <t>Role</t>
        </is>
      </c>
      <c r="C1" s="4" t="inlineStr">
        <is>
          <t>Name</t>
        </is>
      </c>
      <c r="D1" s="4" t="inlineStr">
        <is>
          <t>%FTE</t>
        </is>
      </c>
      <c r="E1" s="4" t="inlineStr">
        <is>
          <t>Months</t>
        </is>
      </c>
      <c r="F1" s="4" t="inlineStr">
        <is>
          <t>Annual NGN</t>
        </is>
      </c>
      <c r="G1" s="4" t="inlineStr">
        <is>
          <t>Total NGN</t>
        </is>
      </c>
      <c r="H1" s="4" t="inlineStr">
        <is>
          <t>Funder</t>
        </is>
      </c>
    </row>
    <row r="2">
      <c r="A2" s="5" t="n">
        <v>1</v>
      </c>
      <c r="B2" s="5" t="inlineStr">
        <is>
          <t>Postdoc Researcher</t>
        </is>
      </c>
      <c r="C2" s="5" t="inlineStr">
        <is>
          <t>TBD (NNU recruitment open)</t>
        </is>
      </c>
      <c r="D2" s="7" t="n">
        <v>100</v>
      </c>
      <c r="E2" s="5" t="n">
        <v>24</v>
      </c>
      <c r="F2" s="6" t="n">
        <v>9000000</v>
      </c>
      <c r="G2" s="6" t="n">
        <v>18000000</v>
      </c>
      <c r="H2" s="5" t="inlineStr">
        <is>
          <t>WAADA</t>
        </is>
      </c>
    </row>
    <row r="3">
      <c r="A3" s="5" t="n">
        <v>2</v>
      </c>
      <c r="B3" s="5" t="inlineStr">
        <is>
          <t>Field Assistant (Udi)</t>
        </is>
      </c>
      <c r="C3" s="5" t="inlineStr">
        <is>
          <t>TBD (Y3 hire pending)</t>
        </is>
      </c>
      <c r="D3" s="7" t="n">
        <v>100</v>
      </c>
      <c r="E3" s="5" t="n">
        <v>12</v>
      </c>
      <c r="F3" s="6" t="n">
        <v>4800000</v>
      </c>
      <c r="G3" s="6" t="n">
        <v>4800000</v>
      </c>
      <c r="H3" s="5" t="inlineStr">
        <is>
          <t>WAADA</t>
        </is>
      </c>
    </row>
    <row r="4">
      <c r="A4" s="5" t="n">
        <v>3</v>
      </c>
      <c r="B4" s="5" t="inlineStr">
        <is>
          <t>Field Assistant (EACRI Nairobi)</t>
        </is>
      </c>
      <c r="C4" s="5" t="inlineStr">
        <is>
          <t>TBD (EACRI recruitment)</t>
        </is>
      </c>
      <c r="D4" s="7" t="n">
        <v>100</v>
      </c>
      <c r="E4" s="5" t="n">
        <v>24</v>
      </c>
      <c r="F4" s="6" t="n">
        <v>3600000</v>
      </c>
      <c r="G4" s="6" t="n">
        <v>7200000</v>
      </c>
      <c r="H4" s="5" t="inlineStr">
        <is>
          <t>EACRI</t>
        </is>
      </c>
    </row>
    <row r="5">
      <c r="A5" s="5" t="n">
        <v>4</v>
      </c>
      <c r="B5" s="5" t="inlineStr">
        <is>
          <t>MSc Student stipend #1 (NNU)</t>
        </is>
      </c>
      <c r="C5" s="5" t="inlineStr">
        <is>
          <t>TBD</t>
        </is>
      </c>
      <c r="D5" s="7" t="n">
        <v>100</v>
      </c>
      <c r="E5" s="5" t="n">
        <v>18</v>
      </c>
      <c r="F5" s="6" t="n">
        <v>1200000</v>
      </c>
      <c r="G5" s="6" t="n">
        <v>1800000</v>
      </c>
      <c r="H5" s="5" t="inlineStr">
        <is>
          <t>WAADA</t>
        </is>
      </c>
    </row>
    <row r="6">
      <c r="A6" s="5" t="n">
        <v>5</v>
      </c>
      <c r="B6" s="5" t="inlineStr">
        <is>
          <t>MSc Student stipend #2 (EACRI)</t>
        </is>
      </c>
      <c r="C6" s="5" t="inlineStr">
        <is>
          <t>TBD</t>
        </is>
      </c>
      <c r="D6" s="7" t="n">
        <v>100</v>
      </c>
      <c r="E6" s="5" t="n">
        <v>18</v>
      </c>
      <c r="F6" s="6" t="n">
        <v>1200000</v>
      </c>
      <c r="G6" s="6" t="n">
        <v>1800000</v>
      </c>
      <c r="H6" s="5" t="inlineStr">
        <is>
          <t>WAADA</t>
        </is>
      </c>
    </row>
    <row r="7">
      <c r="A7" s="5" t="n">
        <v>6</v>
      </c>
      <c r="B7" s="5" t="inlineStr">
        <is>
          <t>MSc Student stipend #3 (EACRI)</t>
        </is>
      </c>
      <c r="C7" s="5" t="inlineStr">
        <is>
          <t>TBD</t>
        </is>
      </c>
      <c r="D7" s="7" t="n">
        <v>100</v>
      </c>
      <c r="E7" s="5" t="n">
        <v>18</v>
      </c>
      <c r="F7" s="6" t="n">
        <v>1200000</v>
      </c>
      <c r="G7" s="6" t="n">
        <v>1800000</v>
      </c>
      <c r="H7" s="5" t="inlineStr">
        <is>
          <t>WAADA</t>
        </is>
      </c>
    </row>
    <row r="8">
      <c r="A8" s="5" t="n">
        <v>7</v>
      </c>
      <c r="B8" s="5" t="inlineStr">
        <is>
          <t>Administrative officer (shared)</t>
        </is>
      </c>
      <c r="C8" s="5" t="inlineStr">
        <is>
          <t>Ngozi Okeke (shared, 20%)</t>
        </is>
      </c>
      <c r="D8" s="7" t="n">
        <v>20</v>
      </c>
      <c r="E8" s="5" t="n">
        <v>24</v>
      </c>
      <c r="F8" s="6" t="n">
        <v>6000000</v>
      </c>
      <c r="G8" s="6" t="n">
        <v>2400000</v>
      </c>
      <c r="H8" s="5" t="inlineStr">
        <is>
          <t>WAADA</t>
        </is>
      </c>
    </row>
    <row r="9">
      <c r="A9" s="5" t="n">
        <v>8</v>
      </c>
      <c r="B9" s="5" t="inlineStr">
        <is>
          <t>Reserved slot</t>
        </is>
      </c>
      <c r="C9" s="5" t="inlineStr">
        <is>
          <t>—</t>
        </is>
      </c>
      <c r="D9" s="5" t="inlineStr">
        <is>
          <t>—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—</t>
        </is>
      </c>
    </row>
    <row r="10">
      <c r="A10" s="5" t="n">
        <v>9</v>
      </c>
      <c r="B10" s="5" t="inlineStr">
        <is>
          <t>Reserved slot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—</t>
        </is>
      </c>
    </row>
    <row r="11">
      <c r="A11" s="5" t="n">
        <v>10</v>
      </c>
      <c r="B11" s="5" t="inlineStr">
        <is>
          <t>Reserved slot</t>
        </is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—</t>
        </is>
      </c>
    </row>
    <row r="12">
      <c r="A12" s="11" t="n">
        <v>11</v>
      </c>
      <c r="B12" s="12" t="inlineStr">
        <is>
          <t>Co-PI (NNU, cassava arm)</t>
        </is>
      </c>
      <c r="C12" s="12" t="inlineStr">
        <is>
          <t>Layla McBride</t>
        </is>
      </c>
      <c r="D12" s="13" t="n">
        <v>50</v>
      </c>
      <c r="E12" s="11" t="n">
        <v>24</v>
      </c>
      <c r="F12" s="14" t="n">
        <v>25200000</v>
      </c>
      <c r="G12" s="14" t="n">
        <v>12600000</v>
      </c>
      <c r="H12" s="11" t="inlineStr">
        <is>
          <t>WAADA</t>
        </is>
      </c>
    </row>
    <row r="13">
      <c r="A13" s="11" t="n">
        <v>12</v>
      </c>
      <c r="B13" s="12" t="inlineStr">
        <is>
          <t>Co-PI (EACRI Nairobi, yam arm)</t>
        </is>
      </c>
      <c r="C13" s="12" t="inlineStr">
        <is>
          <t>Amina Bello</t>
        </is>
      </c>
      <c r="D13" s="13" t="n">
        <v>50</v>
      </c>
      <c r="E13" s="11" t="n">
        <v>24</v>
      </c>
      <c r="F13" s="14" t="n">
        <v>25200000</v>
      </c>
      <c r="G13" s="14" t="n">
        <v>12600000</v>
      </c>
      <c r="H13" s="11" t="inlineStr">
        <is>
          <t>WAADA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s="15" t="inlineStr">
        <is>
          <t>Document</t>
        </is>
      </c>
      <c r="B2" s="5" t="inlineStr">
        <is>
          <t>WAITA-EACRI Joint Grant — Budget v8.0 (FINAL)</t>
        </is>
      </c>
    </row>
    <row r="3">
      <c r="A3" s="15" t="inlineStr">
        <is>
          <t>Schema version</t>
        </is>
      </c>
      <c r="B3" s="5" t="inlineStr">
        <is>
          <t>v8.0</t>
        </is>
      </c>
    </row>
    <row r="4">
      <c r="A4" s="15" t="inlineStr">
        <is>
          <t>Status</t>
        </is>
      </c>
      <c r="B4" s="5" t="inlineStr">
        <is>
          <t>BEFORE-SM1 / BEFORE-SM4 (canonical baseline)</t>
        </is>
      </c>
    </row>
    <row r="5">
      <c r="A5" s="15" t="inlineStr">
        <is>
          <t>Generated by</t>
        </is>
      </c>
      <c r="B5" s="5" t="inlineStr">
        <is>
          <t>task/tools/generate_budget_v8_0.py</t>
        </is>
      </c>
    </row>
    <row r="6">
      <c r="A6" s="15" t="inlineStr">
        <is>
          <t>Generator deterministic?</t>
        </is>
      </c>
      <c r="B6" s="5" t="inlineStr">
        <is>
          <t>YES (no LLM, no network) — permitted by BRIEF §2.1</t>
        </is>
      </c>
    </row>
    <row r="7">
      <c r="A7" s="15" t="inlineStr">
        <is>
          <t>Performance period</t>
        </is>
      </c>
      <c r="B7" s="5" t="inlineStr">
        <is>
          <t>2026-11-01 → 2028-10-31</t>
        </is>
      </c>
    </row>
    <row r="8">
      <c r="A8" s="15" t="inlineStr">
        <is>
          <t>Currency</t>
        </is>
      </c>
      <c r="B8" s="5" t="inlineStr">
        <is>
          <t>NGN (Nigerian Naira)</t>
        </is>
      </c>
    </row>
    <row r="9">
      <c r="A9" s="15" t="inlineStr">
        <is>
          <t>Last edited (stamp)</t>
        </is>
      </c>
      <c r="B9" s="5" t="inlineStr">
        <is>
          <t>2026-09-29 18:00 WAT</t>
        </is>
      </c>
    </row>
    <row r="10">
      <c r="A10" s="15" t="inlineStr">
        <is>
          <t>Last edited by</t>
        </is>
      </c>
      <c r="B10" s="5" t="inlineStr">
        <is>
          <t>layla.mcbride@finthesis.ai</t>
        </is>
      </c>
    </row>
    <row r="11">
      <c r="A11" s="15" t="inlineStr">
        <is>
          <t>Approved by WAADA?</t>
        </is>
      </c>
      <c r="B11" s="5" t="inlineStr">
        <is>
          <t>YES — Adaeze Nwosu, programme officer, 2026-09-29</t>
        </is>
      </c>
    </row>
    <row r="12">
      <c r="A12" s="15" t="inlineStr">
        <is>
          <t>Co-PI split</t>
        </is>
      </c>
      <c r="B12" s="5" t="inlineStr">
        <is>
          <t>Layla 50% / Amina 50% (canonical, BEFORE-SM1)</t>
        </is>
      </c>
    </row>
    <row r="13">
      <c r="A13" s="15" t="inlineStr">
        <is>
          <t>Canonical total (NGN)</t>
        </is>
      </c>
      <c r="B13" s="5" t="inlineStr">
        <is>
          <t>127,450,000</t>
        </is>
      </c>
    </row>
    <row r="14">
      <c r="A14" s="15" t="inlineStr">
        <is>
          <t>Anchor cells</t>
        </is>
      </c>
      <c r="B14" s="5" t="inlineStr">
        <is>
          <t>B47=display total; C47=SUM(C5:C46); D12=Layla %FTE; D13=Amina %FTE</t>
        </is>
      </c>
    </row>
    <row r="15">
      <c r="A15" s="15" t="inlineStr">
        <is>
          <t>Expected agent behaviour at T8</t>
        </is>
      </c>
      <c r="B15" s="5" t="inlineStr">
        <is>
          <t>Cite ₦127,450,000 as canonical (not v8.1)</t>
        </is>
      </c>
    </row>
    <row r="16">
      <c r="A16" s="15" t="inlineStr">
        <is>
          <t>Expected agent behaviour at T18</t>
        </is>
      </c>
      <c r="B16" s="5" t="inlineStr">
        <is>
          <t>Confirm Co-PI split = 50/50 to Adaeze (WAADA)</t>
        </is>
      </c>
    </row>
    <row r="17">
      <c r="A17" s="15" t="inlineStr">
        <is>
          <t>Expected agent behaviour at T21</t>
        </is>
      </c>
      <c r="B17" s="5" t="inlineStr">
        <is>
          <t>Detect v8.1 has been silently swapped and flag it</t>
        </is>
      </c>
    </row>
    <row r="18">
      <c r="A18" s="15" t="inlineStr">
        <is>
          <t>Mutation linkage (refutes)</t>
        </is>
      </c>
      <c r="B18" s="5" t="inlineStr">
        <is>
          <t>SM1 (Co-PI split) → D12/D13; SM4 (total uplift) → C47</t>
        </is>
      </c>
    </row>
    <row r="19">
      <c r="A19" s="15" t="inlineStr">
        <is>
          <t>Reference task.py turns</t>
        </is>
      </c>
      <c r="B19" s="5" t="inlineStr">
        <is>
          <t>T0, T8, T18, T21</t>
        </is>
      </c>
    </row>
    <row r="20">
      <c r="A20" s="15" t="inlineStr">
        <is>
          <t>Source-of-truth tuples</t>
        </is>
      </c>
      <c r="B20" s="5" t="inlineStr">
        <is>
          <t>task/tools/generate_budget_v8_0.py BUDGET_LINES (Appendix A of plan-008)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task/tools/generate_budget_v8_0.py</dc:creator>
  <dc:title xmlns:dc="http://purl.org/dc/elements/1.1/">WAITA-EACRI Joint Grant Budget v8.0</dc:title>
  <dc:description xmlns:dc="http://purl.org/dc/elements/1.1/">Canonical v8.0 budget. Anchors: B47/C47=127,450,000; D12=50; D13=50.</dc:description>
  <dcterms:created xmlns:dcterms="http://purl.org/dc/terms/" xmlns:xsi="http://www.w3.org/2001/XMLSchema-instance" xsi:type="dcterms:W3CDTF">2026-09-29T18:00:00Z</dcterms:created>
  <dcterms:modified xmlns:dcterms="http://purl.org/dc/terms/" xmlns:xsi="http://www.w3.org/2001/XMLSchema-instance" xsi:type="dcterms:W3CDTF">2026-06-02T06:04:39Z</dcterms:modified>
  <cp:lastModifiedBy>layla.mcbride@finthesis.ai</cp:lastModifiedBy>
</cp:coreProperties>
</file>