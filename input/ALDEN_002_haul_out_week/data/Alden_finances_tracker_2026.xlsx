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Coop_settlements" sheetId="2" state="visible" r:id="rId2"/>
    <sheet xmlns:r="http://schemas.openxmlformats.org/officeDocument/2006/relationships" name="HaulOut_budg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165" fontId="0" fillId="0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14" customWidth="1" min="4" max="4"/>
    <col width="38" customWidth="1" min="5" max="5"/>
  </cols>
  <sheetData>
    <row r="1">
      <c r="A1" s="1" t="inlineStr">
        <is>
          <t>Account</t>
        </is>
      </c>
      <c r="B1" s="1" t="inlineStr">
        <is>
          <t>Type</t>
        </is>
      </c>
      <c r="C1" s="1" t="inlineStr">
        <is>
          <t>Balance (USD)</t>
        </is>
      </c>
      <c r="D1" s="1" t="inlineStr">
        <is>
          <t>As of</t>
        </is>
      </c>
      <c r="E1" s="1" t="inlineStr">
        <is>
          <t>Notes</t>
        </is>
      </c>
    </row>
    <row r="2">
      <c r="A2" s="2" t="inlineStr">
        <is>
          <t>Boat fund (savings)</t>
        </is>
      </c>
      <c r="B2" s="2" t="inlineStr">
        <is>
          <t>Personal savings</t>
        </is>
      </c>
      <c r="C2" s="3" t="n">
        <v>3200</v>
      </c>
      <c r="D2" s="4" t="inlineStr">
        <is>
          <t>2026-12-06</t>
        </is>
      </c>
      <c r="E2" s="2" t="inlineStr">
        <is>
          <t>Reserved for haul-out + parts</t>
        </is>
      </c>
    </row>
    <row r="3">
      <c r="A3" s="2" t="inlineStr">
        <is>
          <t>Emergency savings</t>
        </is>
      </c>
      <c r="B3" s="2" t="inlineStr">
        <is>
          <t>Personal savings</t>
        </is>
      </c>
      <c r="C3" s="3" t="n">
        <v>6800</v>
      </c>
      <c r="D3" s="4" t="inlineStr">
        <is>
          <t>2026-12-06</t>
        </is>
      </c>
      <c r="E3" s="2" t="inlineStr">
        <is>
          <t>Untouched buffer</t>
        </is>
      </c>
    </row>
    <row r="4">
      <c r="A4" s="2" t="inlineStr">
        <is>
          <t>Operating checking</t>
        </is>
      </c>
      <c r="B4" s="2" t="inlineStr">
        <is>
          <t>Business checking</t>
        </is>
      </c>
      <c r="C4" s="3" t="n">
        <v>4815.5</v>
      </c>
      <c r="D4" s="4" t="inlineStr">
        <is>
          <t>2026-12-06</t>
        </is>
      </c>
      <c r="E4" s="2" t="inlineStr">
        <is>
          <t>Co-op weekly settlement deposits</t>
        </is>
      </c>
    </row>
    <row r="5">
      <c r="A5" s="2" t="inlineStr">
        <is>
          <t>Co-op share account</t>
        </is>
      </c>
      <c r="B5" s="2" t="inlineStr">
        <is>
          <t>Coop equity</t>
        </is>
      </c>
      <c r="C5" s="3" t="n">
        <v>12450</v>
      </c>
      <c r="D5" s="4" t="inlineStr">
        <is>
          <t>2026-12-01</t>
        </is>
      </c>
      <c r="E5" s="2" t="inlineStr">
        <is>
          <t>Midcoast Seafood Co-op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6" customWidth="1" min="4" max="4"/>
    <col width="12" customWidth="1" min="5" max="5"/>
    <col width="16" customWidth="1" min="6" max="6"/>
    <col width="12" customWidth="1" min="7" max="7"/>
    <col width="30" customWidth="1" min="8" max="8"/>
  </cols>
  <sheetData>
    <row r="1">
      <c r="A1" s="1" t="inlineStr">
        <is>
          <t>Week ending</t>
        </is>
      </c>
      <c r="B1" s="1" t="inlineStr">
        <is>
          <t>Type</t>
        </is>
      </c>
      <c r="C1" s="1" t="inlineStr">
        <is>
          <t>Pounds landed</t>
        </is>
      </c>
      <c r="D1" s="1" t="inlineStr">
        <is>
          <t>Avg price ($/lb)</t>
        </is>
      </c>
      <c r="E1" s="1" t="inlineStr">
        <is>
          <t>Gross</t>
        </is>
      </c>
      <c r="F1" s="1" t="inlineStr">
        <is>
          <t>Co-op deductions</t>
        </is>
      </c>
      <c r="G1" s="1" t="inlineStr">
        <is>
          <t>Net to me</t>
        </is>
      </c>
      <c r="H1" s="1" t="inlineStr">
        <is>
          <t>Status</t>
        </is>
      </c>
    </row>
    <row r="2">
      <c r="A2" s="2" t="inlineStr">
        <is>
          <t>2026-11-08</t>
        </is>
      </c>
      <c r="B2" s="2" t="inlineStr">
        <is>
          <t>Weekly</t>
        </is>
      </c>
      <c r="C2" s="2" t="n">
        <v>412</v>
      </c>
      <c r="D2" s="5" t="n">
        <v>7.1</v>
      </c>
      <c r="E2" s="3" t="n">
        <v>2925.2</v>
      </c>
      <c r="F2" s="3" t="n">
        <v>333</v>
      </c>
      <c r="G2" s="3" t="n">
        <v>2592.2</v>
      </c>
      <c r="H2" s="2" t="inlineStr">
        <is>
          <t>POSTED</t>
        </is>
      </c>
    </row>
    <row r="3">
      <c r="A3" s="2" t="inlineStr">
        <is>
          <t>2026-11-15</t>
        </is>
      </c>
      <c r="B3" s="2" t="inlineStr">
        <is>
          <t>Weekly</t>
        </is>
      </c>
      <c r="C3" s="2" t="n">
        <v>388.5</v>
      </c>
      <c r="D3" s="5" t="n">
        <v>7.05</v>
      </c>
      <c r="E3" s="3" t="n">
        <v>2738.93</v>
      </c>
      <c r="F3" s="3" t="n">
        <v>333</v>
      </c>
      <c r="G3" s="3" t="n">
        <v>2405.93</v>
      </c>
      <c r="H3" s="2" t="inlineStr">
        <is>
          <t>POSTED</t>
        </is>
      </c>
    </row>
    <row r="4">
      <c r="A4" s="2" t="inlineStr">
        <is>
          <t>2026-11-22</t>
        </is>
      </c>
      <c r="B4" s="2" t="inlineStr">
        <is>
          <t>Weekly</t>
        </is>
      </c>
      <c r="C4" s="2" t="n">
        <v>401</v>
      </c>
      <c r="D4" s="5" t="n">
        <v>7.1</v>
      </c>
      <c r="E4" s="3" t="n">
        <v>2847.1</v>
      </c>
      <c r="F4" s="3" t="n">
        <v>333</v>
      </c>
      <c r="G4" s="3" t="n">
        <v>2514.1</v>
      </c>
      <c r="H4" s="2" t="inlineStr">
        <is>
          <t>POSTED</t>
        </is>
      </c>
    </row>
    <row r="5">
      <c r="A5" s="2" t="inlineStr">
        <is>
          <t>2026-11-29</t>
        </is>
      </c>
      <c r="B5" s="2" t="inlineStr">
        <is>
          <t>Weekly</t>
        </is>
      </c>
      <c r="C5" s="2" t="n">
        <v>365</v>
      </c>
      <c r="D5" s="5" t="n">
        <v>7.2</v>
      </c>
      <c r="E5" s="3" t="n">
        <v>2628</v>
      </c>
      <c r="F5" s="3" t="n">
        <v>333</v>
      </c>
      <c r="G5" s="3" t="n">
        <v>2295</v>
      </c>
      <c r="H5" s="2" t="inlineStr">
        <is>
          <t>POSTED</t>
        </is>
      </c>
    </row>
    <row r="6">
      <c r="A6" s="2" t="inlineStr">
        <is>
          <t>2026-11-30</t>
        </is>
      </c>
      <c r="B6" s="2" t="inlineStr">
        <is>
          <t>Monthly final settle (Nov)</t>
        </is>
      </c>
      <c r="C6" s="2" t="inlineStr"/>
      <c r="D6" s="5" t="inlineStr"/>
      <c r="E6" s="3" t="inlineStr"/>
      <c r="F6" s="3" t="inlineStr"/>
      <c r="G6" s="3" t="n">
        <v>384.5</v>
      </c>
      <c r="H6" s="2" t="inlineStr">
        <is>
          <t>PENDING — posts mid-December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50" customWidth="1" min="3" max="3"/>
    <col width="16" customWidth="1" min="4" max="4"/>
    <col width="14" customWidth="1" min="5" max="5"/>
    <col width="38" customWidth="1" min="6" max="6"/>
  </cols>
  <sheetData>
    <row r="1">
      <c r="A1" s="1" t="inlineStr">
        <is>
          <t>Line</t>
        </is>
      </c>
      <c r="B1" s="1" t="inlineStr">
        <is>
          <t>Vendor</t>
        </is>
      </c>
      <c r="C1" s="1" t="inlineStr">
        <is>
          <t>Description</t>
        </is>
      </c>
      <c r="D1" s="1" t="inlineStr">
        <is>
          <t>Est. cost (USD)</t>
        </is>
      </c>
      <c r="E1" s="1" t="inlineStr">
        <is>
          <t>Actual</t>
        </is>
      </c>
      <c r="F1" s="1" t="inlineStr">
        <is>
          <t>Notes</t>
        </is>
      </c>
    </row>
    <row r="2">
      <c r="A2" s="2" t="inlineStr">
        <is>
          <t>1</t>
        </is>
      </c>
      <c r="B2" s="2" t="inlineStr">
        <is>
          <t>Rockland Marine</t>
        </is>
      </c>
      <c r="C2" s="2" t="inlineStr">
        <is>
          <t>Standard haul-out fee (3-day turnaround)</t>
        </is>
      </c>
      <c r="D2" s="3" t="n">
        <v>210</v>
      </c>
      <c r="E2" s="3" t="inlineStr"/>
      <c r="F2" s="2" t="inlineStr">
        <is>
          <t>Yard verbal quote</t>
        </is>
      </c>
    </row>
    <row r="3">
      <c r="A3" s="2" t="inlineStr">
        <is>
          <t>2</t>
        </is>
      </c>
      <c r="B3" s="2" t="inlineStr">
        <is>
          <t>Rockland Marine</t>
        </is>
      </c>
      <c r="C3" s="2" t="inlineStr">
        <is>
          <t>Bottom cleaning + hull paint touch-up</t>
        </is>
      </c>
      <c r="D3" s="3" t="n">
        <v>0</v>
      </c>
      <c r="E3" s="3" t="inlineStr"/>
      <c r="F3" s="2" t="inlineStr">
        <is>
          <t>Included in haul-out fee</t>
        </is>
      </c>
    </row>
    <row r="4">
      <c r="A4" s="2" t="inlineStr">
        <is>
          <t>3</t>
        </is>
      </c>
      <c r="B4" s="2" t="inlineStr">
        <is>
          <t>Hamilton Marine</t>
        </is>
      </c>
      <c r="C4" s="2" t="inlineStr">
        <is>
          <t>Raw water pump impeller, Cummins 6BTA, P/N 3071</t>
        </is>
      </c>
      <c r="D4" s="3" t="n">
        <v>23.45</v>
      </c>
      <c r="E4" s="3" t="inlineStr"/>
      <c r="F4" s="2" t="inlineStr">
        <is>
          <t>Picked up Dec 8</t>
        </is>
      </c>
    </row>
    <row r="5">
      <c r="A5" s="2" t="inlineStr">
        <is>
          <t>4</t>
        </is>
      </c>
      <c r="B5" s="2" t="inlineStr">
        <is>
          <t>Rockland Marine (mechanic)</t>
        </is>
      </c>
      <c r="C5" s="2" t="inlineStr">
        <is>
          <t>Diagnostic labor — Cummins 6BTA overheating</t>
        </is>
      </c>
      <c r="D5" s="3" t="n">
        <v>230</v>
      </c>
      <c r="E5" s="3" t="inlineStr"/>
      <c r="F5" s="2" t="inlineStr">
        <is>
          <t>Yard written estimate</t>
        </is>
      </c>
    </row>
    <row r="6">
      <c r="A6" s="2" t="inlineStr">
        <is>
          <t>5</t>
        </is>
      </c>
      <c r="B6" s="2" t="inlineStr">
        <is>
          <t>Cummins service center</t>
        </is>
      </c>
      <c r="C6" s="2" t="inlineStr">
        <is>
          <t>Cooling sensor swap (if TSB-247B applies)</t>
        </is>
      </c>
      <c r="D6" s="3" t="n">
        <v>120</v>
      </c>
      <c r="E6" s="3" t="inlineStr"/>
      <c r="F6" s="2" t="inlineStr">
        <is>
          <t>Above Alden's $100 personal threshold — needs pre-confirm</t>
        </is>
      </c>
    </row>
    <row r="7">
      <c r="A7" s="2" t="inlineStr"/>
      <c r="B7" s="2" t="inlineStr"/>
      <c r="C7" s="6" t="inlineStr">
        <is>
          <t>TOTAL ESTIMATED</t>
        </is>
      </c>
      <c r="D7" s="7">
        <f>SUM(D2:D6)</f>
        <v/>
      </c>
      <c r="E7" s="3" t="inlineStr"/>
      <c r="F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2026-06-05T18:57:52Z</dcterms:created>
  <dcterms:modified xmlns:dcterms="http://purl.org/dc/terms/" xmlns:xsi="http://www.w3.org/2001/XMLSchema-instance" xsi:type="dcterms:W3CDTF">2026-06-05T18:57:52Z</dcterms:modified>
</cp:coreProperties>
</file>