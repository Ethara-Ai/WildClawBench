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2" customWidth="1" min="4" max="4"/>
    <col width="12" customWidth="1" min="5" max="5"/>
    <col width="13" customWidth="1" min="6" max="6"/>
    <col width="11" customWidth="1" min="7" max="7"/>
    <col width="11" customWidth="1" min="8" max="8"/>
    <col width="20" customWidth="1" min="9" max="9"/>
  </cols>
  <sheetData>
    <row r="1">
      <c r="A1" s="1" t="inlineStr">
        <is>
          <t>Drought-Resistant Tomato Variety Trial — 2026</t>
        </is>
      </c>
    </row>
    <row r="2">
      <c r="A2" s="2" t="inlineStr">
        <is>
          <t>Variety</t>
        </is>
      </c>
      <c r="B2" s="2" t="inlineStr">
        <is>
          <t>Type</t>
        </is>
      </c>
      <c r="C2" s="2" t="inlineStr">
        <is>
          <t>Resistance</t>
        </is>
      </c>
      <c r="D2" s="2" t="inlineStr">
        <is>
          <t>Transplant</t>
        </is>
      </c>
      <c r="E2" s="2" t="inlineStr">
        <is>
          <t>First fruit</t>
        </is>
      </c>
      <c r="F2" s="2" t="inlineStr">
        <is>
          <t>Days to fruit</t>
        </is>
      </c>
      <c r="G2" s="2" t="inlineStr">
        <is>
          <t>Yield (lbs)</t>
        </is>
      </c>
      <c r="H2" s="2" t="inlineStr">
        <is>
          <t>Drought 1-5</t>
        </is>
      </c>
      <c r="I2" s="2" t="inlineStr">
        <is>
          <t>Notes</t>
        </is>
      </c>
    </row>
    <row r="3">
      <c r="A3" s="3" t="inlineStr">
        <is>
          <t>Cherokee Purple</t>
        </is>
      </c>
      <c r="B3" s="3" t="inlineStr">
        <is>
          <t>indeterminate</t>
        </is>
      </c>
      <c r="C3" s="3" t="inlineStr">
        <is>
          <t>heirloom</t>
        </is>
      </c>
      <c r="D3" s="3" t="inlineStr">
        <is>
          <t>2026-04-18</t>
        </is>
      </c>
      <c r="E3" s="3" t="inlineStr">
        <is>
          <t>2026-07-02</t>
        </is>
      </c>
      <c r="F3" s="3" t="n">
        <v>75</v>
      </c>
      <c r="G3" s="3" t="n">
        <v>41.5</v>
      </c>
      <c r="H3" s="3" t="n">
        <v>2</v>
      </c>
      <c r="I3" s="3" t="inlineStr">
        <is>
          <t>flavor control</t>
        </is>
      </c>
    </row>
    <row r="4">
      <c r="A4" s="3" t="inlineStr">
        <is>
          <t>Celebrity</t>
        </is>
      </c>
      <c r="B4" s="3" t="inlineStr">
        <is>
          <t>determinate</t>
        </is>
      </c>
      <c r="C4" s="3" t="inlineStr">
        <is>
          <t>VFNT</t>
        </is>
      </c>
      <c r="D4" s="3" t="inlineStr">
        <is>
          <t>2026-04-18</t>
        </is>
      </c>
      <c r="E4" s="3" t="inlineStr">
        <is>
          <t>2026-06-26</t>
        </is>
      </c>
      <c r="F4" s="3" t="n">
        <v>69</v>
      </c>
      <c r="G4" s="3" t="n">
        <v>52</v>
      </c>
      <c r="H4" s="3" t="n">
        <v>3</v>
      </c>
      <c r="I4" s="3" t="inlineStr">
        <is>
          <t>reliable standard</t>
        </is>
      </c>
    </row>
    <row r="5">
      <c r="A5" s="3" t="inlineStr">
        <is>
          <t>Mountain Merit</t>
        </is>
      </c>
      <c r="B5" s="3" t="inlineStr">
        <is>
          <t>determinate</t>
        </is>
      </c>
      <c r="C5" s="3" t="inlineStr">
        <is>
          <t>VFFNT-LB</t>
        </is>
      </c>
      <c r="D5" s="3" t="inlineStr">
        <is>
          <t>2026-04-18</t>
        </is>
      </c>
      <c r="E5" s="3" t="inlineStr">
        <is>
          <t>2026-06-28</t>
        </is>
      </c>
      <c r="F5" s="3" t="n">
        <v>71</v>
      </c>
      <c r="G5" s="3" t="n">
        <v>58.3</v>
      </c>
      <c r="H5" s="3" t="n">
        <v>4</v>
      </c>
      <c r="I5" s="3" t="inlineStr">
        <is>
          <t>strong disease pkg</t>
        </is>
      </c>
    </row>
    <row r="6">
      <c r="A6" s="3" t="inlineStr">
        <is>
          <t>Heat-set HS-2</t>
        </is>
      </c>
      <c r="B6" s="3" t="inlineStr">
        <is>
          <t>determinate</t>
        </is>
      </c>
      <c r="C6" s="3" t="inlineStr">
        <is>
          <t>heat-set</t>
        </is>
      </c>
      <c r="D6" s="3" t="inlineStr">
        <is>
          <t>2026-04-20</t>
        </is>
      </c>
      <c r="E6" s="3" t="inlineStr">
        <is>
          <t>2026-07-05</t>
        </is>
      </c>
      <c r="F6" s="3" t="n">
        <v>76</v>
      </c>
      <c r="G6" s="3" t="n">
        <v>47.1</v>
      </c>
      <c r="H6" s="3" t="n">
        <v>5</v>
      </c>
      <c r="I6" s="3" t="inlineStr">
        <is>
          <t>held set in heat</t>
        </is>
      </c>
    </row>
    <row r="7">
      <c r="A7" s="3" t="inlineStr">
        <is>
          <t>Better Boy</t>
        </is>
      </c>
      <c r="B7" s="3" t="inlineStr">
        <is>
          <t>indeterminate</t>
        </is>
      </c>
      <c r="C7" s="3" t="inlineStr">
        <is>
          <t>VFN</t>
        </is>
      </c>
      <c r="D7" s="3" t="inlineStr">
        <is>
          <t>2026-04-20</t>
        </is>
      </c>
      <c r="E7" s="3" t="inlineStr">
        <is>
          <t>2026-07-01</t>
        </is>
      </c>
      <c r="F7" s="3" t="n">
        <v>72</v>
      </c>
      <c r="G7" s="3" t="n">
        <v>49.8</v>
      </c>
      <c r="H7" s="3" t="n">
        <v>2</v>
      </c>
      <c r="I7" s="3" t="inlineStr">
        <is>
          <t>cracked after rain</t>
        </is>
      </c>
    </row>
    <row r="8">
      <c r="A8" s="3" t="inlineStr">
        <is>
          <t>Family OP (Wiggins)</t>
        </is>
      </c>
      <c r="B8" s="3" t="inlineStr">
        <is>
          <t>indeterminate</t>
        </is>
      </c>
      <c r="C8" s="3" t="inlineStr">
        <is>
          <t>open-pollinated</t>
        </is>
      </c>
      <c r="D8" s="3" t="inlineStr">
        <is>
          <t>2026-04-20</t>
        </is>
      </c>
      <c r="E8" s="3" t="inlineStr">
        <is>
          <t>2026-07-08</t>
        </is>
      </c>
      <c r="F8" s="3" t="n">
        <v>79</v>
      </c>
      <c r="G8" s="3" t="n">
        <v>38.4</v>
      </c>
      <c r="H8" s="3" t="n">
        <v>3</v>
      </c>
      <c r="I8" s="3" t="inlineStr">
        <is>
          <t>saved-seed line</t>
        </is>
      </c>
    </row>
    <row r="10">
      <c r="A10" s="4" t="inlineStr">
        <is>
          <t>SUMMARY</t>
        </is>
      </c>
    </row>
    <row r="11">
      <c r="A11" s="4" t="inlineStr">
        <is>
          <t>Total yield (lbs)</t>
        </is>
      </c>
      <c r="B11" s="5">
        <f>SUM(G3:G8)</f>
        <v/>
      </c>
    </row>
    <row r="12">
      <c r="A12" s="4" t="inlineStr">
        <is>
          <t>Average yield (lbs)</t>
        </is>
      </c>
      <c r="B12" s="5">
        <f>ROUND(AVERAGE(G3:G8),1)</f>
        <v/>
      </c>
    </row>
    <row r="13">
      <c r="A13" s="4" t="inlineStr">
        <is>
          <t>Best yield (lbs)</t>
        </is>
      </c>
      <c r="B13" s="5">
        <f>MAX(G3:G8)</f>
        <v/>
      </c>
    </row>
    <row r="14">
      <c r="A14" s="4" t="inlineStr">
        <is>
          <t>Avg days to fruit</t>
        </is>
      </c>
      <c r="B14" s="5">
        <f>ROUND(AVERAGE(F3:F8),0)</f>
        <v/>
      </c>
    </row>
    <row r="15">
      <c r="A15" s="4" t="inlineStr">
        <is>
          <t>Top drought score</t>
        </is>
      </c>
      <c r="B15" s="5">
        <f>MAX(H3:H8)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