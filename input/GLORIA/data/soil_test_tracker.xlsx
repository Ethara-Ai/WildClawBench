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9" customWidth="1" min="5" max="5"/>
    <col width="9" customWidth="1" min="6" max="6"/>
    <col width="7" customWidth="1" min="7" max="7"/>
    <col width="18" customWidth="1" min="8" max="8"/>
    <col width="20" customWidth="1" min="9" max="9"/>
    <col width="14" customWidth="1" min="10" max="10"/>
  </cols>
  <sheetData>
    <row r="1">
      <c r="A1" s="1" t="inlineStr">
        <is>
          <t>Soil Test Tracker (target pH 6.2-6.8)</t>
        </is>
      </c>
    </row>
    <row r="2">
      <c r="A2" s="2" t="inlineStr">
        <is>
          <t>Date</t>
        </is>
      </c>
      <c r="B2" s="2" t="inlineStr">
        <is>
          <t>Plot</t>
        </is>
      </c>
      <c r="C2" s="2" t="inlineStr">
        <is>
          <t>Crop</t>
        </is>
      </c>
      <c r="D2" s="2" t="inlineStr">
        <is>
          <t>pH</t>
        </is>
      </c>
      <c r="E2" s="2" t="inlineStr">
        <is>
          <t>P (ppm)</t>
        </is>
      </c>
      <c r="F2" s="2" t="inlineStr">
        <is>
          <t>K (ppm)</t>
        </is>
      </c>
      <c r="G2" s="2" t="inlineStr">
        <is>
          <t>OM %</t>
        </is>
      </c>
      <c r="H2" s="2" t="inlineStr">
        <is>
          <t>Lime rec (lbs/1000)</t>
        </is>
      </c>
      <c r="I2" s="2" t="inlineStr">
        <is>
          <t>Notes</t>
        </is>
      </c>
      <c r="J2" s="3" t="inlineStr">
        <is>
          <t>pH in range?</t>
        </is>
      </c>
    </row>
    <row r="3">
      <c r="A3" s="4" t="inlineStr">
        <is>
          <t>2026-01-12</t>
        </is>
      </c>
      <c r="B3" s="4" t="inlineStr">
        <is>
          <t>backyard A</t>
        </is>
      </c>
      <c r="C3" s="4" t="inlineStr">
        <is>
          <t>tomato</t>
        </is>
      </c>
      <c r="D3" s="4" t="n">
        <v>6.1</v>
      </c>
      <c r="E3" s="4" t="n">
        <v>48</v>
      </c>
      <c r="F3" s="4" t="n">
        <v>165</v>
      </c>
      <c r="G3" s="4" t="n">
        <v>3.4</v>
      </c>
      <c r="H3" s="4" t="n">
        <v>30</v>
      </c>
      <c r="I3" s="4" t="inlineStr">
        <is>
          <t>lime applied</t>
        </is>
      </c>
      <c r="J3">
        <f>IF(AND(D3&gt;=6.2,D3&lt;=6.8),"OK","adjust")</f>
        <v/>
      </c>
    </row>
    <row r="4">
      <c r="A4" s="4" t="inlineStr">
        <is>
          <t>2026-01-12</t>
        </is>
      </c>
      <c r="B4" s="4" t="inlineStr">
        <is>
          <t>backyard B</t>
        </is>
      </c>
      <c r="C4" s="4" t="inlineStr">
        <is>
          <t>greens/okra</t>
        </is>
      </c>
      <c r="D4" s="4" t="n">
        <v>6.4</v>
      </c>
      <c r="E4" s="4" t="n">
        <v>52</v>
      </c>
      <c r="F4" s="4" t="n">
        <v>180</v>
      </c>
      <c r="G4" s="4" t="n">
        <v>3.8</v>
      </c>
      <c r="H4" s="4" t="n">
        <v>0</v>
      </c>
      <c r="I4" s="4" t="inlineStr">
        <is>
          <t>in range</t>
        </is>
      </c>
      <c r="J4">
        <f>IF(AND(D4&gt;=6.2,D4&lt;=6.8),"OK","adjust")</f>
        <v/>
      </c>
    </row>
    <row r="5">
      <c r="A5" s="4" t="inlineStr">
        <is>
          <t>2026-01-15</t>
        </is>
      </c>
      <c r="B5" s="4" t="inlineStr">
        <is>
          <t>herb garden</t>
        </is>
      </c>
      <c r="C5" s="4" t="inlineStr">
        <is>
          <t>perennials</t>
        </is>
      </c>
      <c r="D5" s="4" t="n">
        <v>6.6</v>
      </c>
      <c r="E5" s="4" t="n">
        <v>40</v>
      </c>
      <c r="F5" s="4" t="n">
        <v>150</v>
      </c>
      <c r="G5" s="4" t="n">
        <v>4.1</v>
      </c>
      <c r="H5" s="4" t="n">
        <v>0</v>
      </c>
      <c r="I5" s="4" t="inlineStr">
        <is>
          <t>good</t>
        </is>
      </c>
      <c r="J5">
        <f>IF(AND(D5&gt;=6.2,D5&lt;=6.8),"OK","adjust")</f>
        <v/>
      </c>
    </row>
    <row r="6">
      <c r="A6" s="4" t="inlineStr">
        <is>
          <t>2026-02-02</t>
        </is>
      </c>
      <c r="B6" s="4" t="inlineStr">
        <is>
          <t>client North</t>
        </is>
      </c>
      <c r="C6" s="4" t="inlineStr">
        <is>
          <t>mixed veg</t>
        </is>
      </c>
      <c r="D6" s="4" t="n">
        <v>5.7</v>
      </c>
      <c r="E6" s="4" t="n">
        <v>31</v>
      </c>
      <c r="F6" s="4" t="n">
        <v>120</v>
      </c>
      <c r="G6" s="4" t="n">
        <v>2.2</v>
      </c>
      <c r="H6" s="4" t="n">
        <v>50</v>
      </c>
      <c r="I6" s="4" t="inlineStr">
        <is>
          <t>needs lime+compost</t>
        </is>
      </c>
      <c r="J6">
        <f>IF(AND(D6&gt;=6.2,D6&lt;=6.8),"OK","adjust")</f>
        <v/>
      </c>
    </row>
    <row r="7">
      <c r="A7" s="4" t="inlineStr">
        <is>
          <t>2026-02-02</t>
        </is>
      </c>
      <c r="B7" s="4" t="inlineStr">
        <is>
          <t>client South</t>
        </is>
      </c>
      <c r="C7" s="4" t="inlineStr">
        <is>
          <t>sweet potato</t>
        </is>
      </c>
      <c r="D7" s="4" t="n">
        <v>6</v>
      </c>
      <c r="E7" s="4" t="n">
        <v>38</v>
      </c>
      <c r="F7" s="4" t="n">
        <v>140</v>
      </c>
      <c r="G7" s="4" t="n">
        <v>2.9</v>
      </c>
      <c r="H7" s="4" t="n">
        <v>25</v>
      </c>
      <c r="I7" s="4" t="inlineStr">
        <is>
          <t>loosen for ridges</t>
        </is>
      </c>
      <c r="J7">
        <f>IF(AND(D7&gt;=6.2,D7&lt;=6.8),"OK","adjust")</f>
        <v/>
      </c>
    </row>
    <row r="9">
      <c r="A9" s="5" t="inlineStr">
        <is>
          <t>SUMMARY</t>
        </is>
      </c>
    </row>
    <row r="10">
      <c r="A10" s="5" t="inlineStr">
        <is>
          <t>Average pH</t>
        </is>
      </c>
      <c r="B10" s="6">
        <f>ROUND(AVERAGE(D3:D7),2)</f>
        <v/>
      </c>
    </row>
    <row r="11">
      <c r="A11" s="5" t="inlineStr">
        <is>
          <t>Plots needing lime</t>
        </is>
      </c>
      <c r="B11" s="6">
        <f>COUNTIF(H3:H7,"&gt;0")</f>
        <v/>
      </c>
    </row>
    <row r="12">
      <c r="A12" s="5" t="inlineStr">
        <is>
          <t>Average OM %</t>
        </is>
      </c>
      <c r="B12" s="6">
        <f>ROUND(AVERAGE(G3:G7),1)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