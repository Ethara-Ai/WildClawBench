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 Dry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0" customWidth="1" min="4" max="4"/>
    <col width="9" customWidth="1" min="5" max="5"/>
    <col width="20" customWidth="1" min="6" max="6"/>
    <col width="12" customWidth="1" min="7" max="7"/>
  </cols>
  <sheetData>
    <row r="1">
      <c r="A1" s="1" t="inlineStr">
        <is>
          <t>Herb Garden — Drying Inventory &amp; Yield</t>
        </is>
      </c>
    </row>
    <row r="2">
      <c r="A2" s="2" t="inlineStr">
        <is>
          <t>Herb</t>
        </is>
      </c>
      <c r="B2" s="2" t="inlineStr">
        <is>
          <t>Part</t>
        </is>
      </c>
      <c r="C2" s="2" t="inlineStr">
        <is>
          <t>Harvest date</t>
        </is>
      </c>
      <c r="D2" s="2" t="inlineStr">
        <is>
          <t>Fresh (g)</t>
        </is>
      </c>
      <c r="E2" s="2" t="inlineStr">
        <is>
          <t>Dry (g)</t>
        </is>
      </c>
      <c r="F2" s="2" t="inlineStr">
        <is>
          <t>Use</t>
        </is>
      </c>
      <c r="G2" s="3" t="inlineStr">
        <is>
          <t>Dry yield %</t>
        </is>
      </c>
    </row>
    <row r="3">
      <c r="A3" s="4" t="inlineStr">
        <is>
          <t>Mullein</t>
        </is>
      </c>
      <c r="B3" s="4" t="inlineStr">
        <is>
          <t>leaf</t>
        </is>
      </c>
      <c r="C3" s="4" t="inlineStr">
        <is>
          <t>2026-06-10</t>
        </is>
      </c>
      <c r="D3" s="4" t="n">
        <v>320</v>
      </c>
      <c r="E3" s="4" t="n">
        <v>48</v>
      </c>
      <c r="F3" s="4" t="inlineStr">
        <is>
          <t>respiratory tea</t>
        </is>
      </c>
      <c r="G3">
        <f>ROUND(E3/D3*100,1)</f>
        <v/>
      </c>
    </row>
    <row r="4">
      <c r="A4" s="4" t="inlineStr">
        <is>
          <t>Lemon balm</t>
        </is>
      </c>
      <c r="B4" s="4" t="inlineStr">
        <is>
          <t>leaf</t>
        </is>
      </c>
      <c r="C4" s="4" t="inlineStr">
        <is>
          <t>2026-06-12</t>
        </is>
      </c>
      <c r="D4" s="4" t="n">
        <v>260</v>
      </c>
      <c r="E4" s="4" t="n">
        <v>41</v>
      </c>
      <c r="F4" s="4" t="inlineStr">
        <is>
          <t>calming tea</t>
        </is>
      </c>
      <c r="G4">
        <f>ROUND(E4/D4*100,1)</f>
        <v/>
      </c>
    </row>
    <row r="5">
      <c r="A5" s="4" t="inlineStr">
        <is>
          <t>Chamomile</t>
        </is>
      </c>
      <c r="B5" s="4" t="inlineStr">
        <is>
          <t>flower</t>
        </is>
      </c>
      <c r="C5" s="4" t="inlineStr">
        <is>
          <t>2026-06-20</t>
        </is>
      </c>
      <c r="D5" s="4" t="n">
        <v>180</v>
      </c>
      <c r="E5" s="4" t="n">
        <v>34</v>
      </c>
      <c r="F5" s="4" t="inlineStr">
        <is>
          <t>rest tea</t>
        </is>
      </c>
      <c r="G5">
        <f>ROUND(E5/D5*100,1)</f>
        <v/>
      </c>
    </row>
    <row r="6">
      <c r="A6" s="4" t="inlineStr">
        <is>
          <t>Peppermint</t>
        </is>
      </c>
      <c r="B6" s="4" t="inlineStr">
        <is>
          <t>leaf</t>
        </is>
      </c>
      <c r="C6" s="4" t="inlineStr">
        <is>
          <t>2026-06-22</t>
        </is>
      </c>
      <c r="D6" s="4" t="n">
        <v>210</v>
      </c>
      <c r="E6" s="4" t="n">
        <v>37</v>
      </c>
      <c r="F6" s="4" t="inlineStr">
        <is>
          <t>digestive tea</t>
        </is>
      </c>
      <c r="G6">
        <f>ROUND(E6/D6*100,1)</f>
        <v/>
      </c>
    </row>
    <row r="7">
      <c r="A7" s="4" t="inlineStr">
        <is>
          <t>Echinacea</t>
        </is>
      </c>
      <c r="B7" s="4" t="inlineStr">
        <is>
          <t>aerial+root</t>
        </is>
      </c>
      <c r="C7" s="4" t="inlineStr">
        <is>
          <t>2026-09-05</t>
        </is>
      </c>
      <c r="D7" s="4" t="n">
        <v>410</v>
      </c>
      <c r="E7" s="4" t="n">
        <v>95</v>
      </c>
      <c r="F7" s="4" t="inlineStr">
        <is>
          <t>immune support</t>
        </is>
      </c>
      <c r="G7">
        <f>ROUND(E7/D7*100,1)</f>
        <v/>
      </c>
    </row>
    <row r="9">
      <c r="A9" s="5" t="inlineStr">
        <is>
          <t>SUMMARY</t>
        </is>
      </c>
    </row>
    <row r="10">
      <c r="A10" s="5" t="inlineStr">
        <is>
          <t>Total fresh (g)</t>
        </is>
      </c>
      <c r="B10" s="6">
        <f>SUM(D3:D7)</f>
        <v/>
      </c>
    </row>
    <row r="11">
      <c r="A11" s="5" t="inlineStr">
        <is>
          <t>Total dry (g)</t>
        </is>
      </c>
      <c r="B11" s="6">
        <f>SUM(E3:E7)</f>
        <v/>
      </c>
    </row>
    <row r="12">
      <c r="A12" s="5" t="inlineStr">
        <is>
          <t>Avg dry yield %</t>
        </is>
      </c>
      <c r="B12" s="6">
        <f>ROUND(AVERAGE(G3:G7),1)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