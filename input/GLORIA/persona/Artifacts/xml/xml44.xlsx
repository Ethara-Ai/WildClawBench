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1" customWidth="1" min="4" max="4"/>
    <col width="9" customWidth="1" min="5" max="5"/>
    <col width="11" customWidth="1" min="6" max="6"/>
    <col width="18" customWidth="1" min="7" max="7"/>
    <col width="12" customWidth="1" min="8" max="8"/>
  </cols>
  <sheetData>
    <row r="1">
      <c r="A1" s="1" t="inlineStr">
        <is>
          <t>Seed Saving Inventory &amp; Germination</t>
        </is>
      </c>
    </row>
    <row r="2">
      <c r="A2" s="2" t="inlineStr">
        <is>
          <t>Crop</t>
        </is>
      </c>
      <c r="B2" s="2" t="inlineStr">
        <is>
          <t>Variety</t>
        </is>
      </c>
      <c r="C2" s="2" t="inlineStr">
        <is>
          <t>Type</t>
        </is>
      </c>
      <c r="D2" s="2" t="inlineStr">
        <is>
          <t>Year saved</t>
        </is>
      </c>
      <c r="E2" s="2" t="inlineStr">
        <is>
          <t>Germ %</t>
        </is>
      </c>
      <c r="F2" s="2" t="inlineStr">
        <is>
          <t>Seed count</t>
        </is>
      </c>
      <c r="G2" s="2" t="inlineStr">
        <is>
          <t>Notes</t>
        </is>
      </c>
      <c r="H2" s="3" t="inlineStr">
        <is>
          <t>Viability</t>
        </is>
      </c>
    </row>
    <row r="3">
      <c r="A3" s="4" t="inlineStr">
        <is>
          <t>Tomato</t>
        </is>
      </c>
      <c r="B3" s="4" t="inlineStr">
        <is>
          <t>Family OP (Wiggins)</t>
        </is>
      </c>
      <c r="C3" s="4" t="inlineStr">
        <is>
          <t>open-pollinated</t>
        </is>
      </c>
      <c r="D3" s="4" t="n">
        <v>2025</v>
      </c>
      <c r="E3" s="4" t="n">
        <v>88</v>
      </c>
      <c r="F3" s="4" t="n">
        <v>210</v>
      </c>
      <c r="G3" s="4" t="inlineStr">
        <is>
          <t>3rd season line</t>
        </is>
      </c>
      <c r="H3">
        <f>IF(E3&gt;=85,"good",IF(E3&gt;=75,"fair","sow heavy"))</f>
        <v/>
      </c>
    </row>
    <row r="4">
      <c r="A4" s="4" t="inlineStr">
        <is>
          <t>Okra</t>
        </is>
      </c>
      <c r="B4" s="4" t="inlineStr">
        <is>
          <t>Clemson Spineless</t>
        </is>
      </c>
      <c r="C4" s="4" t="inlineStr">
        <is>
          <t>open-pollinated</t>
        </is>
      </c>
      <c r="D4" s="4" t="n">
        <v>2025</v>
      </c>
      <c r="E4" s="4" t="n">
        <v>92</v>
      </c>
      <c r="F4" s="4" t="n">
        <v>160</v>
      </c>
      <c r="G4" s="4" t="inlineStr">
        <is>
          <t>reliable</t>
        </is>
      </c>
      <c r="H4">
        <f>IF(E4&gt;=85,"good",IF(E4&gt;=75,"fair","sow heavy"))</f>
        <v/>
      </c>
    </row>
    <row r="5">
      <c r="A5" s="4" t="inlineStr">
        <is>
          <t>Field pea</t>
        </is>
      </c>
      <c r="B5" s="4" t="inlineStr">
        <is>
          <t>Whippoorwill</t>
        </is>
      </c>
      <c r="C5" s="4" t="inlineStr">
        <is>
          <t>heirloom</t>
        </is>
      </c>
      <c r="D5" s="4" t="n">
        <v>2025</v>
      </c>
      <c r="E5" s="4" t="n">
        <v>85</v>
      </c>
      <c r="F5" s="4" t="n">
        <v>340</v>
      </c>
      <c r="G5" s="4" t="inlineStr">
        <is>
          <t>gifted by elder</t>
        </is>
      </c>
      <c r="H5">
        <f>IF(E5&gt;=85,"good",IF(E5&gt;=75,"fair","sow heavy"))</f>
        <v/>
      </c>
    </row>
    <row r="6">
      <c r="A6" s="4" t="inlineStr">
        <is>
          <t>Collards</t>
        </is>
      </c>
      <c r="B6" s="4" t="inlineStr">
        <is>
          <t>Georgia Southern</t>
        </is>
      </c>
      <c r="C6" s="4" t="inlineStr">
        <is>
          <t>open-pollinated</t>
        </is>
      </c>
      <c r="D6" s="4" t="n">
        <v>2024</v>
      </c>
      <c r="E6" s="4" t="n">
        <v>79</v>
      </c>
      <c r="F6" s="4" t="n">
        <v>120</v>
      </c>
      <c r="G6" s="4" t="inlineStr">
        <is>
          <t>test before sowing</t>
        </is>
      </c>
      <c r="H6">
        <f>IF(E6&gt;=85,"good",IF(E6&gt;=75,"fair","sow heavy"))</f>
        <v/>
      </c>
    </row>
    <row r="7">
      <c r="A7" s="4" t="inlineStr">
        <is>
          <t>Pepper</t>
        </is>
      </c>
      <c r="B7" s="4" t="inlineStr">
        <is>
          <t>sweet (family)</t>
        </is>
      </c>
      <c r="C7" s="4" t="inlineStr">
        <is>
          <t>open-pollinated</t>
        </is>
      </c>
      <c r="D7" s="4" t="n">
        <v>2025</v>
      </c>
      <c r="E7" s="4" t="n">
        <v>81</v>
      </c>
      <c r="F7" s="4" t="n">
        <v>95</v>
      </c>
      <c r="G7" s="4" t="inlineStr">
        <is>
          <t>isolate from hot</t>
        </is>
      </c>
      <c r="H7">
        <f>IF(E7&gt;=85,"good",IF(E7&gt;=75,"fair","sow heavy"))</f>
        <v/>
      </c>
    </row>
    <row r="9">
      <c r="A9" s="5" t="inlineStr">
        <is>
          <t>SUMMARY</t>
        </is>
      </c>
    </row>
    <row r="10">
      <c r="A10" s="5" t="inlineStr">
        <is>
          <t>Varieties stored</t>
        </is>
      </c>
      <c r="B10" s="6">
        <f>COUNTA(A3:A7)</f>
        <v/>
      </c>
    </row>
    <row r="11">
      <c r="A11" s="5" t="inlineStr">
        <is>
          <t>Avg germination %</t>
        </is>
      </c>
      <c r="B11" s="6">
        <f>ROUND(AVERAGE(E3:E7),1)</f>
        <v/>
      </c>
    </row>
    <row r="12">
      <c r="A12" s="5" t="inlineStr">
        <is>
          <t>Total seeds</t>
        </is>
      </c>
      <c r="B12" s="6">
        <f>SUM(F3:F7)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